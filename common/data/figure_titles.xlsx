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\Desktop\Documents\I2D2\I2D2 Dashboard\IDD_Dashboards\i2d2_dashboards\common\Data\"/>
    </mc:Choice>
  </mc:AlternateContent>
  <xr:revisionPtr revIDLastSave="0" documentId="13_ncr:1_{30EFD7D3-1B57-4A81-A76A-3374C906DCEE}" xr6:coauthVersionLast="36" xr6:coauthVersionMax="36" xr10:uidLastSave="{00000000-0000-0000-0000-000000000000}"/>
  <bookViews>
    <workbookView xWindow="0" yWindow="0" windowWidth="38400" windowHeight="17505" xr2:uid="{00000000-000D-0000-FFFF-FFFF00000000}"/>
  </bookViews>
  <sheets>
    <sheet name="titles" sheetId="1" r:id="rId1"/>
    <sheet name="type" sheetId="5" r:id="rId2"/>
    <sheet name="pivots" sheetId="6" r:id="rId3"/>
  </sheet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A99" i="1" l="1"/>
  <c r="A100" i="1"/>
  <c r="A2" i="5" l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A10" i="1" l="1"/>
  <c r="A17" i="1"/>
  <c r="A4" i="1"/>
  <c r="A28" i="1"/>
  <c r="A134" i="1"/>
  <c r="A68" i="1"/>
  <c r="A20" i="1"/>
  <c r="A2" i="1"/>
  <c r="A33" i="1"/>
  <c r="A131" i="1"/>
  <c r="A146" i="1"/>
  <c r="A114" i="1"/>
  <c r="A80" i="1"/>
  <c r="A48" i="1"/>
  <c r="A32" i="1"/>
  <c r="A145" i="1"/>
  <c r="A129" i="1"/>
  <c r="A113" i="1"/>
  <c r="A95" i="1"/>
  <c r="A79" i="1"/>
  <c r="A63" i="1"/>
  <c r="A47" i="1"/>
  <c r="A31" i="1"/>
  <c r="A15" i="1"/>
  <c r="A147" i="1"/>
  <c r="A130" i="1"/>
  <c r="A96" i="1"/>
  <c r="A64" i="1"/>
  <c r="A16" i="1"/>
  <c r="A144" i="1"/>
  <c r="A128" i="1"/>
  <c r="A112" i="1"/>
  <c r="A94" i="1"/>
  <c r="A78" i="1"/>
  <c r="A62" i="1"/>
  <c r="A46" i="1"/>
  <c r="A30" i="1"/>
  <c r="A14" i="1"/>
  <c r="A97" i="1"/>
  <c r="A143" i="1"/>
  <c r="A127" i="1"/>
  <c r="A111" i="1"/>
  <c r="A93" i="1"/>
  <c r="A77" i="1"/>
  <c r="A61" i="1"/>
  <c r="A45" i="1"/>
  <c r="A29" i="1"/>
  <c r="A13" i="1"/>
  <c r="A12" i="1"/>
  <c r="A81" i="1"/>
  <c r="A44" i="1"/>
  <c r="A141" i="1"/>
  <c r="A125" i="1"/>
  <c r="A109" i="1"/>
  <c r="A91" i="1"/>
  <c r="A75" i="1"/>
  <c r="A59" i="1"/>
  <c r="A43" i="1"/>
  <c r="A27" i="1"/>
  <c r="A11" i="1"/>
  <c r="A65" i="1"/>
  <c r="A126" i="1"/>
  <c r="A139" i="1"/>
  <c r="A123" i="1"/>
  <c r="A107" i="1"/>
  <c r="A89" i="1"/>
  <c r="A73" i="1"/>
  <c r="A57" i="1"/>
  <c r="A41" i="1"/>
  <c r="A25" i="1"/>
  <c r="A9" i="1"/>
  <c r="A142" i="1"/>
  <c r="A76" i="1"/>
  <c r="A108" i="1"/>
  <c r="A26" i="1"/>
  <c r="A138" i="1"/>
  <c r="A122" i="1"/>
  <c r="A106" i="1"/>
  <c r="A88" i="1"/>
  <c r="A72" i="1"/>
  <c r="A56" i="1"/>
  <c r="A40" i="1"/>
  <c r="A24" i="1"/>
  <c r="A8" i="1"/>
  <c r="A60" i="1"/>
  <c r="A124" i="1"/>
  <c r="A74" i="1"/>
  <c r="A42" i="1"/>
  <c r="A137" i="1"/>
  <c r="A121" i="1"/>
  <c r="A105" i="1"/>
  <c r="A87" i="1"/>
  <c r="A71" i="1"/>
  <c r="A55" i="1"/>
  <c r="A39" i="1"/>
  <c r="A23" i="1"/>
  <c r="A7" i="1"/>
  <c r="A49" i="1"/>
  <c r="A92" i="1"/>
  <c r="A140" i="1"/>
  <c r="A90" i="1"/>
  <c r="A58" i="1"/>
  <c r="A136" i="1"/>
  <c r="A120" i="1"/>
  <c r="A104" i="1"/>
  <c r="A86" i="1"/>
  <c r="A70" i="1"/>
  <c r="A54" i="1"/>
  <c r="A38" i="1"/>
  <c r="A22" i="1"/>
  <c r="A6" i="1"/>
  <c r="A115" i="1"/>
  <c r="A110" i="1"/>
  <c r="A135" i="1"/>
  <c r="A119" i="1"/>
  <c r="A103" i="1"/>
  <c r="A85" i="1"/>
  <c r="A69" i="1"/>
  <c r="A53" i="1"/>
  <c r="A37" i="1"/>
  <c r="A21" i="1"/>
  <c r="A5" i="1"/>
  <c r="A150" i="1"/>
  <c r="A102" i="1"/>
  <c r="A149" i="1"/>
  <c r="A133" i="1"/>
  <c r="A117" i="1"/>
  <c r="A101" i="1"/>
  <c r="A83" i="1"/>
  <c r="A67" i="1"/>
  <c r="A51" i="1"/>
  <c r="A35" i="1"/>
  <c r="A19" i="1"/>
  <c r="A3" i="1"/>
  <c r="A118" i="1"/>
  <c r="A84" i="1"/>
  <c r="A52" i="1"/>
  <c r="A36" i="1"/>
  <c r="A148" i="1"/>
  <c r="A132" i="1"/>
  <c r="A116" i="1"/>
  <c r="A98" i="1"/>
  <c r="A82" i="1"/>
  <c r="A66" i="1"/>
  <c r="A50" i="1"/>
  <c r="A34" i="1"/>
  <c r="A18" i="1"/>
</calcChain>
</file>

<file path=xl/sharedStrings.xml><?xml version="1.0" encoding="utf-8"?>
<sst xmlns="http://schemas.openxmlformats.org/spreadsheetml/2006/main" count="2141" uniqueCount="603">
  <si>
    <t>Dimension</t>
  </si>
  <si>
    <t>Measure</t>
  </si>
  <si>
    <t>Indicator</t>
  </si>
  <si>
    <t>Subsets</t>
  </si>
  <si>
    <t>Groups</t>
  </si>
  <si>
    <t xml:space="preserve">Figure  </t>
  </si>
  <si>
    <t>Title</t>
  </si>
  <si>
    <t>Tool Tip Text</t>
  </si>
  <si>
    <t>Chart Type</t>
  </si>
  <si>
    <t>Timeframe</t>
  </si>
  <si>
    <t>Numerator</t>
  </si>
  <si>
    <t>Num_source</t>
  </si>
  <si>
    <t>Denominator</t>
  </si>
  <si>
    <t>Den_source</t>
  </si>
  <si>
    <t>Text to Include with Chart Download</t>
  </si>
  <si>
    <t>Notes</t>
  </si>
  <si>
    <t>Economic</t>
  </si>
  <si>
    <t>Children in Poverty</t>
  </si>
  <si>
    <t>Federal Poverty Level (FPL)</t>
  </si>
  <si>
    <t>Children &lt;6 in Poverty</t>
  </si>
  <si>
    <t>Percentage of children, under 6, who live in families with incomes below select U.S. poverty thresholds.</t>
  </si>
  <si>
    <t>Map</t>
  </si>
  <si>
    <t>Latest year</t>
  </si>
  <si>
    <t>Number of people by Income to Poverty Level</t>
  </si>
  <si>
    <t>ACS</t>
  </si>
  <si>
    <t>Total population</t>
  </si>
  <si>
    <t xml:space="preserve">ACS </t>
  </si>
  <si>
    <t xml:space="preserve">Children &lt;6 in Poverty Over Time </t>
  </si>
  <si>
    <t>Percentage of children, under 6, who live in families with incomes below select U.S. poverty thresholds over time.</t>
  </si>
  <si>
    <t>Line chart</t>
  </si>
  <si>
    <t>All years</t>
  </si>
  <si>
    <t>Children &lt;6 with Families &lt;100% FPL by Race and Ethnicity</t>
  </si>
  <si>
    <t xml:space="preserve">Percentage of children, under 6, who live in families with incomes below the federal poverty level by race and ethnicity. </t>
  </si>
  <si>
    <t>Bar chart</t>
  </si>
  <si>
    <t>Number of children &lt;6 in &lt;100% FPL by Race</t>
  </si>
  <si>
    <t>Total number of children &lt;6</t>
  </si>
  <si>
    <t>Free or Reduced Price Lunch (FRPL)</t>
  </si>
  <si>
    <t xml:space="preserve">Percentage of public school students who are eligible for free- or reduced-price lunch. </t>
  </si>
  <si>
    <t>Number of Public School Students Who are Eligible for Free or Reduced-Price Lunch</t>
  </si>
  <si>
    <t>IA DOEd</t>
  </si>
  <si>
    <t>Total Number of Public School Students</t>
  </si>
  <si>
    <t>Percentage of public school students who are eligible for free- or reduced-price lunch over time.</t>
  </si>
  <si>
    <t xml:space="preserve">Number of Public School Students Who are Eligible for Free or Reduced-Price Lunch by Grade Level </t>
  </si>
  <si>
    <t xml:space="preserve">Total Number of Public School Students by Grade Level </t>
  </si>
  <si>
    <t>Medicaid or WIC Receipt at Birth</t>
  </si>
  <si>
    <t xml:space="preserve">Medicaid or WIC at Birth </t>
  </si>
  <si>
    <t>Percentage of children whose mothers were receiving WIC or Medicaid at the time of birth.</t>
  </si>
  <si>
    <t xml:space="preserve">Number of children born in Iowa whose mother's received Medicaid/WIC at their time of birth </t>
  </si>
  <si>
    <t>VS Birth Records</t>
  </si>
  <si>
    <t>Number of children born in Iowa</t>
  </si>
  <si>
    <t>Medicaid or WIC at Birth Over Time</t>
  </si>
  <si>
    <t>Percentage of children whose mothers were receiving WIC or Medicaid at the time of birth over time.</t>
  </si>
  <si>
    <t>Medicaid or WIC at Birth by Race and Ethnicity</t>
  </si>
  <si>
    <t xml:space="preserve">Percentage of children whose mothers were receiving WIC or Medicaid at the time of birth by race and ethnicity. </t>
  </si>
  <si>
    <t>Number of children born in Iowa whose mother's received Medicaid/WIC at their time of birth by Race/Ethnicity</t>
  </si>
  <si>
    <t>Number of children born in Iowa by Race/Ethnicity</t>
  </si>
  <si>
    <t>All People in Poverty</t>
  </si>
  <si>
    <t>Percentage of people with incomes below select U.S. poverty thresholds.</t>
  </si>
  <si>
    <t>Number of people by federal poverty level</t>
  </si>
  <si>
    <t>Number of people</t>
  </si>
  <si>
    <t>All People in Poverty Over Time</t>
  </si>
  <si>
    <t>Percentage of people with incomes below select U.S. poverty thresholds over time.</t>
  </si>
  <si>
    <t>All People in Families &lt; 100% FPL by Race and Ethnicity</t>
  </si>
  <si>
    <t xml:space="preserve">Percentage of people with incomes below the federal poverty level by race and ethnicity. </t>
  </si>
  <si>
    <t>Number of [race] people living below 100% FPL</t>
  </si>
  <si>
    <t>Total population of [race] people</t>
  </si>
  <si>
    <t>Unemployment</t>
  </si>
  <si>
    <t>Number of people 16+ in the civilian labor force who are unemployed</t>
  </si>
  <si>
    <t>Total population of people 16+ in the civilian labor force</t>
  </si>
  <si>
    <t>Unemployment Over Time</t>
  </si>
  <si>
    <t xml:space="preserve">Unemployment by Race and Ethnicity </t>
  </si>
  <si>
    <t>Number of [race] people 16+ in the civilian labor force who are unemployed</t>
  </si>
  <si>
    <t>Total population of [race] people 16+ in the civilian labor force</t>
  </si>
  <si>
    <t>Homelessness</t>
  </si>
  <si>
    <t>Point in Time (PIT)</t>
  </si>
  <si>
    <t>Number of people experiencing homelessness per 10,000 population</t>
  </si>
  <si>
    <t>Number of people experiencing homelessness, by type</t>
  </si>
  <si>
    <t>ICA</t>
  </si>
  <si>
    <t>Total population/10,000</t>
  </si>
  <si>
    <t>Homelessness Over Time</t>
  </si>
  <si>
    <t>Number of people experiencing homelessness per 10,000 population over time</t>
  </si>
  <si>
    <t>Homelessness by Race and Ethnicty for State</t>
  </si>
  <si>
    <t>Number of people experiencing homelessness, by type &amp; race</t>
  </si>
  <si>
    <t>HUD</t>
  </si>
  <si>
    <t>State population by race/10,000</t>
  </si>
  <si>
    <t xml:space="preserve">Race breakout by type is only available for years 2018-2023. When 2024 data is available, then we'll have the race breakout by county from ICA. </t>
  </si>
  <si>
    <t>Students Facing Homelessness</t>
  </si>
  <si>
    <t>Number of homeless K-12 students enrolled in the school , by school type</t>
  </si>
  <si>
    <t>Number of K-12 students enrolled in school, by school type</t>
  </si>
  <si>
    <t>Students Facing Homelessness Over Time</t>
  </si>
  <si>
    <t>Child Demographics</t>
  </si>
  <si>
    <t>Child Age</t>
  </si>
  <si>
    <t>Number of children in select age group</t>
  </si>
  <si>
    <t xml:space="preserve">Total population less than 18 years old </t>
  </si>
  <si>
    <t>Child Age Over Time</t>
  </si>
  <si>
    <t>Child Age Groups</t>
  </si>
  <si>
    <t>Child Race and Ethnicity</t>
  </si>
  <si>
    <t>Number of children by race [per age group]</t>
  </si>
  <si>
    <t>Total population by age group</t>
  </si>
  <si>
    <t>Child Race and Ethnicity Over Time</t>
  </si>
  <si>
    <t>Household Characteristics</t>
  </si>
  <si>
    <t>Household Type</t>
  </si>
  <si>
    <t>Household Type for Children &lt; 6</t>
  </si>
  <si>
    <t>Number of own children by household type</t>
  </si>
  <si>
    <t xml:space="preserve">Total population of own children </t>
  </si>
  <si>
    <t>Household Type for Children &lt; 6 Over Time</t>
  </si>
  <si>
    <t>Number of own children by household type and age group</t>
  </si>
  <si>
    <t>Total population of own children by age group</t>
  </si>
  <si>
    <t>Household Type Over Time</t>
  </si>
  <si>
    <t>First Time Mother</t>
  </si>
  <si>
    <t xml:space="preserve"># of mothers who had not previously given birth </t>
  </si>
  <si>
    <t>Total # of mothers</t>
  </si>
  <si>
    <t>First Time Mother Over Time</t>
  </si>
  <si>
    <t xml:space="preserve">First Time Mother by Race and Ethnicity </t>
  </si>
  <si>
    <t xml:space="preserve"># of mothers who had not previously given birth by race and ethnicity </t>
  </si>
  <si>
    <t xml:space="preserve">Total # of mothers by race and ethnicity </t>
  </si>
  <si>
    <t>First Time Mother by Race and Ethnicity Over Time</t>
  </si>
  <si>
    <t>Working Parents with Children &lt; 6</t>
  </si>
  <si>
    <t>Number of own children by employment status of parents</t>
  </si>
  <si>
    <t>Working Parents with Children &lt; 6 Over Time</t>
  </si>
  <si>
    <t>Working Parents with Children &lt; 6 by Type</t>
  </si>
  <si>
    <t>Language Spoken at Home</t>
  </si>
  <si>
    <t>Language Spoken at Home for Children 5 to 17</t>
  </si>
  <si>
    <t>Number of children ages 5-17 by language spoken at home</t>
  </si>
  <si>
    <t>Total population of children ages 5-17</t>
  </si>
  <si>
    <t>Language Spoken at Home for Children 5 to 17 Over Time</t>
  </si>
  <si>
    <t>Language Spoken at Home for Children 5 to 17 by Poverty</t>
  </si>
  <si>
    <t xml:space="preserve">Number of children ages 5-17 by language spoken at home AND poverty level </t>
  </si>
  <si>
    <t>Total population of children ages 5-17 by language spoken at home</t>
  </si>
  <si>
    <t>Health and Social Needs</t>
  </si>
  <si>
    <t>Birth Risks</t>
  </si>
  <si>
    <t>Birth to Teenage Mother</t>
  </si>
  <si>
    <t xml:space="preserve"># of mothers under the age 20 at time of birth </t>
  </si>
  <si>
    <t>Birth to Teenage Mother Over Time</t>
  </si>
  <si>
    <t>Birth to Teenage Mother by Race and Ethnicity</t>
  </si>
  <si>
    <t># of mothers under the age 20 at time of birth by race and ethnicity</t>
  </si>
  <si>
    <t>Birth to Teenage Mother by Race and Ethnicity Over Time</t>
  </si>
  <si>
    <t>Birth to Unmarried Mother</t>
  </si>
  <si>
    <t xml:space="preserve"># of mothers who were not married at the time of the child's birth </t>
  </si>
  <si>
    <t>Birth to Unmarried Mother Over Time</t>
  </si>
  <si>
    <t>Birth to Unmarried Mother by Race and Ethnicity</t>
  </si>
  <si>
    <t xml:space="preserve"># of mothers who were not married at the time of the child's birth by race and ethnicity </t>
  </si>
  <si>
    <t>Birth to Unmarried Mother by Race and Ethnicity Over Time</t>
  </si>
  <si>
    <t>Inadequate Prenatal Care</t>
  </si>
  <si>
    <t>Percentage of mothers who received no prenatal care duing the first trimester or who had fewer than four prenatal visits in total</t>
  </si>
  <si>
    <t># of mothers who received no prenatal care duing the first trimester or who had fewer than four prenatal visits in total</t>
  </si>
  <si>
    <t>Inadequate Prenatal Care Over Time</t>
  </si>
  <si>
    <t>Percentage of mothers who received no prenatal care duing the first trimester or who had fewer than four prenatal visits in total over time</t>
  </si>
  <si>
    <t>Inadequate Prenatal Care by Race and Ethnicity</t>
  </si>
  <si>
    <t xml:space="preserve">Percentage of mothers who received no prenatal care duing the first trimester or who had fewer than four prenatal visits in total by race and ethnicity </t>
  </si>
  <si>
    <t xml:space="preserve"># of mothers who received no prenatal care duing the first trimester or who had fewer than four prenatal visits in total by race and ethnicity </t>
  </si>
  <si>
    <t>Inadequate Prenatal Care by Race and Ethnicity Over Time</t>
  </si>
  <si>
    <t>Percentage of mothers who received no prenatal care duing the first trimester or who had fewer than four prenatal visits in total by race and ethnicity  over time</t>
  </si>
  <si>
    <t>Preterm or Low Birth Weight</t>
  </si>
  <si>
    <t xml:space="preserve">Percentage of mothers who gave birth to a child weighing less than 2500 grams or prior to 37 weeks gestation. </t>
  </si>
  <si>
    <t># of mothers who gave birth to a child weighing less than 2500 grams or prior to 37 weeks gestation</t>
  </si>
  <si>
    <t>Preterm or Low Birth Weight Over Time</t>
  </si>
  <si>
    <t>Percentage of mothers who gave birth to a child weighing less than 2500 grams or prior to 37 weeks gestation over time</t>
  </si>
  <si>
    <t>Preterm or Low Birth Weight by Race and Ethnicity</t>
  </si>
  <si>
    <t>Percentage of mothers who gave birth to a child weighing less than 2500 grams or prior to 37 weeks gestation by race and ethnicity</t>
  </si>
  <si>
    <t xml:space="preserve"># of mothers who gave birth to a child weighing less than 2500 grams or prior to 37 weeks gestation by race and ethnicity </t>
  </si>
  <si>
    <t>Preterm or Low Birth Weight by Race and Ethnicity Over Time</t>
  </si>
  <si>
    <t>Percentage of mothers who gave birth to a child weighing less than 2500 grams or prior to 37 weeks gestation by race and ethnicity over time</t>
  </si>
  <si>
    <t>Prenatal Tobacco Exposure</t>
  </si>
  <si>
    <t xml:space="preserve"># of mothers who reported using tobacco during their pregnancy </t>
  </si>
  <si>
    <t>Prenatal Tobacco Exposure Over Time</t>
  </si>
  <si>
    <t>Prenatal Tobacco Exposure by Race and Ethnicity</t>
  </si>
  <si>
    <t xml:space="preserve"># of mothers who reported using tobacco during their pregnancy by race and ethnicity </t>
  </si>
  <si>
    <t>Prenatal Tobacco Exposure by Race and Ethnicity Over Time</t>
  </si>
  <si>
    <t>Low Maternal Education at Birth</t>
  </si>
  <si>
    <t>Percentage of children born to mothers over the age of 19 with less than a high school degree</t>
  </si>
  <si>
    <t># of mothers over the age of 19 with less than a high school degree</t>
  </si>
  <si>
    <t>Low Maternal Education at Birth Over Time</t>
  </si>
  <si>
    <t>Percentage of children born to mothers over the age of 19 with less than a high school degree over time</t>
  </si>
  <si>
    <t>Low Maternal Education at Birth by Race and Ethnicity</t>
  </si>
  <si>
    <t>Percentage of children born to mothers over the age of 19 with less than a high school degree by race and ethnicity</t>
  </si>
  <si>
    <t xml:space="preserve"># of mothers over the age of 19 with less than a high school degree by race and ethnicity </t>
  </si>
  <si>
    <t>Low Maternal Education at Birth by Race and Ethnicity Over Time</t>
  </si>
  <si>
    <t>Percentage of children born to mothers over the age of 19 with less than a high school degree by race and ethnicity over time</t>
  </si>
  <si>
    <t xml:space="preserve">Percentage of mothers who received WIC at the time of the child's birth </t>
  </si>
  <si>
    <t xml:space="preserve"># of children born &amp; residing in Iowa whose mothers' received WIC at time of child' birth </t>
  </si>
  <si>
    <t>Total # of children born in Iowa (and also reside in Iowa at time of birth)</t>
  </si>
  <si>
    <t>Medicaid or WIC Receipt at Birth Over Time</t>
  </si>
  <si>
    <t>Percentage of mothers who received WIC at the time of the child's birth over time</t>
  </si>
  <si>
    <t>Medicaid or WIC Receipt at Birth by Race and Ethnicity</t>
  </si>
  <si>
    <t xml:space="preserve">Percentage of mothers who received WIC at the time of the child's birth by the mother's race and ethnicity </t>
  </si>
  <si>
    <t xml:space="preserve"># of children born &amp; residing in Iowa whose mothers' received WIC at time of child' birth by mother's race and ethnicity </t>
  </si>
  <si>
    <t>Total # of children born in Iowa (and also reside in Iowa at time of birth) by mother's race and ethnicity</t>
  </si>
  <si>
    <t>Medicaid or WIC Receipt at Birth by Race and Ethnicity Over Time</t>
  </si>
  <si>
    <t>Percentage of mothers who received WIC at the time of the child's birth over time by the mother's race and ethnicity</t>
  </si>
  <si>
    <t>Cumulative Birth Risks</t>
  </si>
  <si>
    <t>Percentage of births by number of risk factors</t>
  </si>
  <si>
    <t># of births by # of risk factors</t>
  </si>
  <si>
    <t xml:space="preserve">Total # of births </t>
  </si>
  <si>
    <t>Cumulative Birth Risks Over Time</t>
  </si>
  <si>
    <t>Percentage of births by number of risk factors over time</t>
  </si>
  <si>
    <t xml:space="preserve"># of births by # of risk factors </t>
  </si>
  <si>
    <t>Cumulative Birth Risks by Race and Ethnicity</t>
  </si>
  <si>
    <t xml:space="preserve">Percentage of births by number of risk factors and race and ethnicity </t>
  </si>
  <si>
    <t xml:space="preserve"># of births by # of risk factors and race and ethnicity </t>
  </si>
  <si>
    <t xml:space="preserve">Total # of births by race and ethnicity </t>
  </si>
  <si>
    <t>Cumulative Birth Risks by Race and Ethnicity Over Time</t>
  </si>
  <si>
    <t>Percentage of births by number of risk factors and race and ethnicity  over time</t>
  </si>
  <si>
    <t>Risks by Race and Ethnicity</t>
  </si>
  <si>
    <t xml:space="preserve">Percentage of birth risks by race and ethnicity </t>
  </si>
  <si>
    <t xml:space="preserve"># of births by cumulative birth risk and race and ethnicity </t>
  </si>
  <si>
    <t>Statewide Cumulative Birth Risks</t>
  </si>
  <si>
    <t>Percentage of birth risks by cumulative number of birth risks</t>
  </si>
  <si>
    <t>Pie chart</t>
  </si>
  <si>
    <t># of births by cumulative birth risk</t>
  </si>
  <si>
    <t>Immunizations</t>
  </si>
  <si>
    <t>Immunization Rate for Children &lt; 2</t>
  </si>
  <si>
    <t>The number of 2 year old Iowan residents who have received the recommended vaccinations by age 24 months</t>
  </si>
  <si>
    <t>The number of 2 year olds, based on census estimates</t>
  </si>
  <si>
    <t>Immunization Rate for Children &lt; 2 Over Time</t>
  </si>
  <si>
    <t>Childcare</t>
  </si>
  <si>
    <t>Immunization Rate for Children in Child Care</t>
  </si>
  <si>
    <t xml:space="preserve">The number of children with a Certificate of Immunization </t>
  </si>
  <si>
    <t xml:space="preserve">The total number of children enrolled </t>
  </si>
  <si>
    <t>Immunization Rate for Children in Child Care Over Time</t>
  </si>
  <si>
    <t>School Age</t>
  </si>
  <si>
    <t xml:space="preserve">Immunization Rate for School Age Children </t>
  </si>
  <si>
    <t xml:space="preserve">The number of students with a Certificate of Immunization </t>
  </si>
  <si>
    <t>The total number of students enrolled</t>
  </si>
  <si>
    <t>Immunization Rate for School Age Children Over Time</t>
  </si>
  <si>
    <t>Immunization Rate by Age Group</t>
  </si>
  <si>
    <t>Latest Year</t>
  </si>
  <si>
    <t xml:space="preserve">(same as for figures 1 &amp; 2, just all together in a bar graph) </t>
  </si>
  <si>
    <t>Child Health</t>
  </si>
  <si>
    <t>All 
0-5
6-17</t>
  </si>
  <si>
    <t>none</t>
  </si>
  <si>
    <t>The number confirmed/founded maltreatment victims by age.</t>
  </si>
  <si>
    <t>IA HHS</t>
  </si>
  <si>
    <t xml:space="preserve">All  </t>
  </si>
  <si>
    <t>Neglect
Other</t>
  </si>
  <si>
    <t>Neglect vs All Other Case Types</t>
  </si>
  <si>
    <t>0-5
6-10
11-17</t>
  </si>
  <si>
    <t>Disabilities</t>
  </si>
  <si>
    <t>(Age)
All
0-4
5-17</t>
  </si>
  <si>
    <t>Children with a Disability</t>
  </si>
  <si>
    <t>The number of people with a disability (by age group)</t>
  </si>
  <si>
    <t>Total population (by age group)</t>
  </si>
  <si>
    <t>Children with a Disability Over Time</t>
  </si>
  <si>
    <t xml:space="preserve">(Age)
All
</t>
  </si>
  <si>
    <t>White
Black
Asian
Other
Hispanic</t>
  </si>
  <si>
    <t>All Children &lt; 18 with a Disability by Race and Ethnicity</t>
  </si>
  <si>
    <t xml:space="preserve">The number of people with a disability by race </t>
  </si>
  <si>
    <t xml:space="preserve">Total population by race </t>
  </si>
  <si>
    <t>Hearing Difficulties
Vision Difficulties</t>
  </si>
  <si>
    <t>Children with a Disability by Hearing and Vision Difficulties</t>
  </si>
  <si>
    <t>The number of people with a disability by disability type &amp; age group</t>
  </si>
  <si>
    <t>School Enrollment</t>
  </si>
  <si>
    <t>(Age)
3-4
5-9
10-14
15-17</t>
  </si>
  <si>
    <t xml:space="preserve">Children Enrolled in Public School </t>
  </si>
  <si>
    <t>Total population enrolled in public school by age group</t>
  </si>
  <si>
    <t>Children Enrolled in Public School Over Time</t>
  </si>
  <si>
    <t>Public School 
Private School
Not Enrolled in School</t>
  </si>
  <si>
    <t>School Enrollment by Type</t>
  </si>
  <si>
    <t xml:space="preserve">Total population by age group &amp; enrollment type </t>
  </si>
  <si>
    <t xml:space="preserve">Total population by age group </t>
  </si>
  <si>
    <t>Maternal Education</t>
  </si>
  <si>
    <t>Less than high school 
High school/GED
Some college/Associate
Bachelor's degree (BA/BS/AB)
Graduate or professional degree</t>
  </si>
  <si>
    <t xml:space="preserve">Maternal Education </t>
  </si>
  <si>
    <t xml:space="preserve"># of mothers by education level </t>
  </si>
  <si>
    <t>Maternal Education Over Time</t>
  </si>
  <si>
    <t># of mothers by education level  over time</t>
  </si>
  <si>
    <t>Maternal Education by Type</t>
  </si>
  <si>
    <t>Early Literacy Skills</t>
  </si>
  <si>
    <t>Kindergartners Meeting Early Literacy Requirements</t>
  </si>
  <si>
    <t>Do not have data yet</t>
  </si>
  <si>
    <t>Kindergartners Meeting Early Literacy Requirements Over Time</t>
  </si>
  <si>
    <t>Dropout Rate</t>
  </si>
  <si>
    <t>The total number of dropouts in the school year</t>
  </si>
  <si>
    <t xml:space="preserve">Total fall enrollment </t>
  </si>
  <si>
    <t>Dropout Rate Over Time</t>
  </si>
  <si>
    <t>(Race)
White
Black
Asian
Other
Hispanic</t>
  </si>
  <si>
    <t>Dropout Rate by Race and Ethnicity</t>
  </si>
  <si>
    <t>The total number of dropouts in the school year, by race</t>
  </si>
  <si>
    <t xml:space="preserve">Total fall enrollment, by race </t>
  </si>
  <si>
    <t>(Sex)
Female</t>
  </si>
  <si>
    <t xml:space="preserve">Dropout Rate by Sex </t>
  </si>
  <si>
    <t>The total number of female student dropouts in the school year</t>
  </si>
  <si>
    <t xml:space="preserve">Total number of female students in fall enrollment </t>
  </si>
  <si>
    <t>Community Crime</t>
  </si>
  <si>
    <t>Serious Crime</t>
  </si>
  <si>
    <t>Serious Crime (per 100,000 population)</t>
  </si>
  <si>
    <t>Rate of serious crime incidents per 100,000 population</t>
  </si>
  <si>
    <t>The number of serious crime incidents</t>
  </si>
  <si>
    <t xml:space="preserve">IA DPS </t>
  </si>
  <si>
    <t>Total population/100,000</t>
  </si>
  <si>
    <t>Serious Crime (per 100,000 population) Over Time</t>
  </si>
  <si>
    <t>Rate of serious crime incidents per 100,000 population over time</t>
  </si>
  <si>
    <t>Alcohol and Drug-Related Crime</t>
  </si>
  <si>
    <t>Adult
Juvenile</t>
  </si>
  <si>
    <t>Alcohol and Drug-Related Crime (per 1,000 population)</t>
  </si>
  <si>
    <t xml:space="preserve">Rate of alcohol &amp; drug-related incidents per 1,000 population </t>
  </si>
  <si>
    <t>The number of alcohol and drug-related incidents by age group</t>
  </si>
  <si>
    <t>Total population by age group/1,000</t>
  </si>
  <si>
    <t>Alcohol and Drug-Related Crime (per 1,000 population) Over Time</t>
  </si>
  <si>
    <t>Rate of alcohol &amp; drug-related incidents per 1,000 population over time</t>
  </si>
  <si>
    <t>Alcohol and Drug-Related Crime (per 1,000 population) by Age Group</t>
  </si>
  <si>
    <t>Rate of alcohol &amp; drug-related incidents per 1,000 population by age group</t>
  </si>
  <si>
    <t>Arrests per 1,000 population</t>
  </si>
  <si>
    <t xml:space="preserve">Rate of incidents with an arrest per 1,000 population </t>
  </si>
  <si>
    <t xml:space="preserve">Number of incidents by an arrest by arrestee age </t>
  </si>
  <si>
    <t>Arrests per 1,000 population Over Time</t>
  </si>
  <si>
    <t>Arrests per 1,000 population by Age Group</t>
  </si>
  <si>
    <t>Rate of incidents with an arrest per 1,000 population by age group</t>
  </si>
  <si>
    <t>Group A
Group B</t>
  </si>
  <si>
    <t>Arrests per 1,000 population by Crime Type</t>
  </si>
  <si>
    <t>Rate of incidents with an arrest per 1,000 population by crime type</t>
  </si>
  <si>
    <t>Number of incidents by an arrest by crime type</t>
  </si>
  <si>
    <t>Human Services</t>
  </si>
  <si>
    <t>All Slots
Registered Child Development Homes
HHS Licensed Centers and Preschools</t>
  </si>
  <si>
    <t>Availability of Child Care</t>
  </si>
  <si>
    <t># of total slots (openings)</t>
  </si>
  <si>
    <t># of child care slots in HHS licensed centers/preschools and registered child development home</t>
  </si>
  <si>
    <t>Availability of Child Care Over Time</t>
  </si>
  <si>
    <t>Availability of Child Care by Provider Type</t>
  </si>
  <si>
    <t># of total slots (openings) by provider type</t>
  </si>
  <si>
    <t># of child care slots by provider type</t>
  </si>
  <si>
    <t>SNAP</t>
  </si>
  <si>
    <t>Married Couple
Female, No Spouse
Male, No Spouse
Nonfamily Households</t>
  </si>
  <si>
    <t>Households Receiving SNAP</t>
  </si>
  <si>
    <t>Percentage of households receiving SNAP benefits</t>
  </si>
  <si>
    <t># Households receiving SNAP [by household type]</t>
  </si>
  <si>
    <t>Total # households by household type</t>
  </si>
  <si>
    <t>Household SNAP Receipt Over Time</t>
  </si>
  <si>
    <t>Percentage of households receiving SNAP benefits over time</t>
  </si>
  <si>
    <t>&lt; 100% FPL
? 100% FPL</t>
  </si>
  <si>
    <t>Households Receiving SNAP by Federal Poverty Level</t>
  </si>
  <si>
    <t>Percentage of households receiving SNAP benefits by federal poverty level</t>
  </si>
  <si>
    <t># Households [by FPL] that receive SNAP</t>
  </si>
  <si>
    <t>Total # Households by FPL</t>
  </si>
  <si>
    <t>WIC</t>
  </si>
  <si>
    <t>0-2
3-4</t>
  </si>
  <si>
    <t>Children Receiving WIC</t>
  </si>
  <si>
    <t>Percentage of children receiving WIC benefits</t>
  </si>
  <si>
    <t xml:space="preserve"># of children receiving WIC </t>
  </si>
  <si>
    <t xml:space="preserve">Total # children </t>
  </si>
  <si>
    <t>Children Receiving WIC Over Time</t>
  </si>
  <si>
    <t>Percentage of children receiving WIC benefits over time</t>
  </si>
  <si>
    <t>Children Receiving WIC by Age Group</t>
  </si>
  <si>
    <t>Percentage of children receiving WIC benefits by age group</t>
  </si>
  <si>
    <t># of children receiving WIC by age group</t>
  </si>
  <si>
    <t>Total # children by age group</t>
  </si>
  <si>
    <t>Prenatal WIC recipient values are computed using VS Birth Records data</t>
  </si>
  <si>
    <t>Dental Services</t>
  </si>
  <si>
    <t>All
&lt; 1 
1-2
3-5</t>
  </si>
  <si>
    <t>Dental Services for Children 0-5 Enrolled in Medicaid</t>
  </si>
  <si>
    <t># of Medicaid-enrolled children ages 0-5 who received dental services</t>
  </si>
  <si>
    <t># of Medicaid-enrolled children ages 0-5</t>
  </si>
  <si>
    <t>Dental Services for Children 0-5 Enrolled in Medicaid Over Time</t>
  </si>
  <si>
    <t>&lt; 1 
1-2
3-5</t>
  </si>
  <si>
    <t>Dental Services for Children 0-5 Enrolled in Medicaid by Age Group</t>
  </si>
  <si>
    <t># of Medicaid-enrolled children ages 0-5 who received dental services by age group</t>
  </si>
  <si>
    <t># of Medicaid-enrolled children ages 0-5 by age group</t>
  </si>
  <si>
    <t>All
0-5
6-18</t>
  </si>
  <si>
    <t>Children With Health Coverage</t>
  </si>
  <si>
    <t>Percentage of children with health insurance coverage</t>
  </si>
  <si>
    <t># of children with Health Coverage</t>
  </si>
  <si>
    <t>Children With Health Coverage Over Time</t>
  </si>
  <si>
    <t>Percentage of children with health insurance coverage over time</t>
  </si>
  <si>
    <t>&lt; 100% FPL
100% - 137% FPL
138% - 199% FPL
200% - 399% FPL
? 400% FPL</t>
  </si>
  <si>
    <t xml:space="preserve">Percentage of children with health insurance coverage by federal poverty level </t>
  </si>
  <si>
    <t># of children with Health Coverage [by Federal Poverty Level]</t>
  </si>
  <si>
    <t xml:space="preserve">Total # children by Federal Poverty Level </t>
  </si>
  <si>
    <t>Foster Care</t>
  </si>
  <si>
    <t xml:space="preserve">Children in Foster Care per 1,000 Children </t>
  </si>
  <si>
    <t># of children in foster care [by age group]</t>
  </si>
  <si>
    <t>HHS</t>
  </si>
  <si>
    <t>Total # children/1,000 [by age group]</t>
  </si>
  <si>
    <t xml:space="preserve">Rate per 1,000 kids? Otherwise, % is very small. </t>
  </si>
  <si>
    <t>Children in Foster Care per 1,000 Children  Over Time</t>
  </si>
  <si>
    <t>Children in Foster Care per 1,000 Children by Age Group</t>
  </si>
  <si>
    <t>Drove Alone
Carpooled
Public Transportation
Walked
Other 
N/A</t>
  </si>
  <si>
    <t>Transportation to Work</t>
  </si>
  <si>
    <t xml:space="preserve"># of people by means of transportation to work </t>
  </si>
  <si>
    <t xml:space="preserve">Total # of people leaving for work </t>
  </si>
  <si>
    <t>Transportation to Work Over Time</t>
  </si>
  <si>
    <t>Transportation to Work by Federal Poverty Level</t>
  </si>
  <si>
    <t># of people by Federal Poverty Level [means of transportation]</t>
  </si>
  <si>
    <t>Total # of people leaving for work by means of transportation</t>
  </si>
  <si>
    <t>Work Schedules</t>
  </si>
  <si>
    <t>Non-Standard Work Hours</t>
  </si>
  <si>
    <t xml:space="preserve">Percentage of people leaving for work between 4:00 p.m. and 6:00 a.m. </t>
  </si>
  <si>
    <t># People leaving for work at non-standard hours</t>
  </si>
  <si>
    <t>Non-Standard Work Hours Over Time</t>
  </si>
  <si>
    <t>Percentage of people leaving for work between 4:00 p.m. and 6:00 a.m.  over time</t>
  </si>
  <si>
    <t>Computing Device</t>
  </si>
  <si>
    <t>(computing device)
Computer Only 
Mobile Device Only 
Both Computer &amp; Mobile Device
None</t>
  </si>
  <si>
    <t>Household Computing Devices</t>
  </si>
  <si>
    <t>Percentage of households by computing device type</t>
  </si>
  <si>
    <t># Household by computing device type</t>
  </si>
  <si>
    <t>Total # Households</t>
  </si>
  <si>
    <t>Household Computing Devices Over Time</t>
  </si>
  <si>
    <t>Percentage of households by computing device type over time</t>
  </si>
  <si>
    <t># Households by computing device type</t>
  </si>
  <si>
    <t>Household Computing Devices by Type</t>
  </si>
  <si>
    <t>Internet Access</t>
  </si>
  <si>
    <t>(internet access)
Dial-Up
Broadband
Cellular Data
Broadband and Cellular Data
No Internet</t>
  </si>
  <si>
    <t>Household Internet Access</t>
  </si>
  <si>
    <t>Percent of households with a computer by internet access type</t>
  </si>
  <si>
    <t xml:space="preserve"># Households with a computer by internet access </t>
  </si>
  <si>
    <t>Total # of Households with a computer</t>
  </si>
  <si>
    <t>Household Internet Access Over Time</t>
  </si>
  <si>
    <t>Percent of households with a computer by internet access type over time</t>
  </si>
  <si>
    <t>Household Internet Access by Type</t>
  </si>
  <si>
    <t>Poverty by Public School Grade Level</t>
  </si>
  <si>
    <t xml:space="preserve">Poverty by Public School Grade Level Over Time </t>
  </si>
  <si>
    <t>Students eligible for FRPL by Public School Grade Level</t>
  </si>
  <si>
    <t>Percentage of public school students who are eligible for free- or reduced price lunch by school grade level.</t>
  </si>
  <si>
    <t xml:space="preserve">Percentage of people ages 16+ in the civilian labor force who are unemployed. </t>
  </si>
  <si>
    <t xml:space="preserve">Percentage of people ages 16+ in the civilian labor force who are unemployed over time. </t>
  </si>
  <si>
    <t xml:space="preserve">Percentage of people ages 16+ in the civilian labor force who are unemployed by race. </t>
  </si>
  <si>
    <t xml:space="preserve">Number of people experiencing homelessness per 10,000 population by race </t>
  </si>
  <si>
    <t>Percentage of public school students experiencing homelessness</t>
  </si>
  <si>
    <t>Percentage of public school students experiencing homelessness over time</t>
  </si>
  <si>
    <t>Students Facing Homelessness by School Grade Level</t>
  </si>
  <si>
    <t>Percentage of public school students experiencing homelessness by school grade level</t>
  </si>
  <si>
    <t>Number of homeless K-12 students enrolled in the school , by school grade level.</t>
  </si>
  <si>
    <t xml:space="preserve">Number of K-12 students enrolled in school, by school grade level. </t>
  </si>
  <si>
    <t>Percentage of all children by age group</t>
  </si>
  <si>
    <t>Percentage of all children by age group over time</t>
  </si>
  <si>
    <t>Percent of all children by age group</t>
  </si>
  <si>
    <t>Percentage of children by race and age group</t>
  </si>
  <si>
    <t>Percentage of children by race and age group over time</t>
  </si>
  <si>
    <t>Percentage of households with children under 6 years old by household type</t>
  </si>
  <si>
    <t>Percentage of households with children under 6 years old by household type over time</t>
  </si>
  <si>
    <t>Percentage of households with children by age group and household type</t>
  </si>
  <si>
    <t>Percentage of households with children by age group and household type over time</t>
  </si>
  <si>
    <t>Percentage of children born to mothers who had never previously  given birth</t>
  </si>
  <si>
    <t>Percentage of children born to mothers who had never previously  given birth by race and ethnicity</t>
  </si>
  <si>
    <t>Percentage of children born to mothers who had never previously  given birth by race and ethnicity over time</t>
  </si>
  <si>
    <t>Working Parents</t>
  </si>
  <si>
    <t>Percentage of families with children under 6 years of age by parental work status</t>
  </si>
  <si>
    <t>Percentage of families with children under 6 years of age by parental work status over time</t>
  </si>
  <si>
    <t>Percentage of children ages 5-17 by language spoken at home</t>
  </si>
  <si>
    <t>Percentage of children ages 5-17 by language spoken at home over time</t>
  </si>
  <si>
    <t>Percentage of children ages 5-17 by language spoken at home and federal poverty level</t>
  </si>
  <si>
    <t>Percentage of people leaving for work by means of transportation</t>
  </si>
  <si>
    <t>Percentage of people leaving for work by means of transportation over time</t>
  </si>
  <si>
    <t xml:space="preserve">Percentage of people leaving for work by means of transportation and federal poverty level </t>
  </si>
  <si>
    <t>Technology Access</t>
  </si>
  <si>
    <t>Percentage of mothers under the age of 20 at time of birth</t>
  </si>
  <si>
    <t>Percentage of mothers under the age of 20 at time of birth over time</t>
  </si>
  <si>
    <t xml:space="preserve">Percentage of mothers under the age of 20 at time of birth by race and ethnicity </t>
  </si>
  <si>
    <t>Percentage of mothers under the age of 20 at time of birth by race and ethnicity  over time</t>
  </si>
  <si>
    <t>Percentage of mothers who were not married at time of birth</t>
  </si>
  <si>
    <t>Percentage of mothers who were not married at time of birth over time</t>
  </si>
  <si>
    <t>Percentage of mothers who were not married at time of birth by race and ethnicity</t>
  </si>
  <si>
    <t>Percentage of mothers who were not married at time of birth by race and ethnicity over time</t>
  </si>
  <si>
    <t>Percentage of mothers reporting tobacco use during their pregnancy</t>
  </si>
  <si>
    <t>Percentage of mothers reporting tobacco use during their pregnancy overtime</t>
  </si>
  <si>
    <t>Percentage of mothers reporting tobacco use during their pregnancy by race and ethnicity</t>
  </si>
  <si>
    <t>Percentage of mothers reporting tobacco use during their pregnancy by race and ethnicity over time</t>
  </si>
  <si>
    <t>Percentage of two year old children who have received the recommended vaccinations</t>
  </si>
  <si>
    <t>Percentage of two year old children who have received the recommended vaccinations over time</t>
  </si>
  <si>
    <t>Percentage of children enrolled in childcare who have a Certificate of Immunization</t>
  </si>
  <si>
    <t>Percentage of children enrolled in childcare who have a Certificate of Immunization over time</t>
  </si>
  <si>
    <t>Percentage of children enrolled in school who have a Certificate of Immunization</t>
  </si>
  <si>
    <t>Percentage of children enrolled in school who have a Certificate of Immunization over time</t>
  </si>
  <si>
    <t>Percentage of vaccinated children by age group</t>
  </si>
  <si>
    <t>Child Abuse or Neglect</t>
  </si>
  <si>
    <t>Child Abuse or Neglect (per 1,000 population)</t>
  </si>
  <si>
    <t>Children Experiencing abuse or neglect by Age Group</t>
  </si>
  <si>
    <t>Percentage of children with a disability</t>
  </si>
  <si>
    <t>Percentage of children with a disability over time</t>
  </si>
  <si>
    <t>Percentage of children  with a disability by race</t>
  </si>
  <si>
    <t>Percentage of children with a disability by disability type</t>
  </si>
  <si>
    <t xml:space="preserve">Percentage of children enrolled in public school </t>
  </si>
  <si>
    <t xml:space="preserve">Percentage of children enrolled in public school over time </t>
  </si>
  <si>
    <t>Percentage of children by school enrollment type</t>
  </si>
  <si>
    <t xml:space="preserve">Percentage of mothers by education level </t>
  </si>
  <si>
    <t>Percentage of mothers by education level over time</t>
  </si>
  <si>
    <t>Percentage of students in grades 7-12 who are classified as dropped out</t>
  </si>
  <si>
    <t>Percentage of students in grades 7-12 who are classified as dropped out over time</t>
  </si>
  <si>
    <t>Percentage of students in grades 7-12 who are classified as dropped out by race and ethnicity</t>
  </si>
  <si>
    <t>Percentage of students in grades 7-12 who are classified as dropped out by sex</t>
  </si>
  <si>
    <t>Arrest</t>
  </si>
  <si>
    <t>Services</t>
  </si>
  <si>
    <t>Percentage of licensed/registered child care slots that are open</t>
  </si>
  <si>
    <t>Percentage of licensed/registered child care slots that are open over time</t>
  </si>
  <si>
    <t>Percentage of licensed/registered child care slots that are open by provider type</t>
  </si>
  <si>
    <t>Percentage of Medicaid-enrolled children ages 0 to 5 who received dental services</t>
  </si>
  <si>
    <t>Percentage of Medicaid-enrolled children ages 0 to 5 who received dental services over time</t>
  </si>
  <si>
    <t>Percentage of Medicaid-enrolled children ages 0 to 5 who received dental services by age group</t>
  </si>
  <si>
    <t>Health Coverage</t>
  </si>
  <si>
    <t>Children ≤ 18 with Health Coverage by Federal Poverty Level</t>
  </si>
  <si>
    <t>Rate of children in foster care per 1,000 child population</t>
  </si>
  <si>
    <t>Rate of children in foster care per 1,000 child population over time</t>
  </si>
  <si>
    <t>Rate of children in foster care per 1,000 child population over time by age group</t>
  </si>
  <si>
    <t>Transportation</t>
  </si>
  <si>
    <t>Domestic Violence</t>
  </si>
  <si>
    <t xml:space="preserve">Domestic Violence (per 100,000 population) </t>
  </si>
  <si>
    <t xml:space="preserve">Rate of domestic violence incidents per 100,000 population </t>
  </si>
  <si>
    <t>The number of domestic violence incidents</t>
  </si>
  <si>
    <t>Domestic Violence (per 100,000 population) Over Time</t>
  </si>
  <si>
    <t>Rate of domestic violence incidents per 100,000 population  over time</t>
  </si>
  <si>
    <t>Female</t>
  </si>
  <si>
    <t>Domestic Violence Victims by Sex</t>
  </si>
  <si>
    <t xml:space="preserve">Percent of domestic violence victims who are female. </t>
  </si>
  <si>
    <t xml:space="preserve">The number of domestic violence incidents where the victim was female </t>
  </si>
  <si>
    <t xml:space="preserve">Total number of domestic violence incidents. </t>
  </si>
  <si>
    <t>Domestic Violence Children Present</t>
  </si>
  <si>
    <t>None present
Present, Harmed
Present, Unharmed</t>
  </si>
  <si>
    <t>Domestic Violence by Child Presence (per 100,000 population)</t>
  </si>
  <si>
    <t>Rate of domestic violence incidents per 100,000 population by child presence.</t>
  </si>
  <si>
    <t xml:space="preserve">The number of domestic violence incidents by child presence </t>
  </si>
  <si>
    <t>Domestic Violence by Child Presence (per 100,000 population) Over Time</t>
  </si>
  <si>
    <t>Rate of domestic violence incidents per 100,000 population by child presence over time</t>
  </si>
  <si>
    <t>Domestic Violence Incidents by Child Presence</t>
  </si>
  <si>
    <t xml:space="preserve">Percent of domestic violence incidents by children presence. </t>
  </si>
  <si>
    <t>Rate of children who are victims of confirmed/founded abuse or neglect per 1,000 children by age group.</t>
  </si>
  <si>
    <t>Total population less than 18 years old by age group / 1,000.</t>
  </si>
  <si>
    <t>Rate of children who are victims of confirmed/founded abuse or neglect per 1,000 children by age group over time.</t>
  </si>
  <si>
    <t>Child victims of confirmed/founded abuse or neglect by abuse type.</t>
  </si>
  <si>
    <t>The number of child victims of confirmed/founded abuse by abuse type.</t>
  </si>
  <si>
    <t>Total number of child victims of confirmed/founded abuse.</t>
  </si>
  <si>
    <t>Child victims of confirmed/founded maltreatment by age group.</t>
  </si>
  <si>
    <t>The number of child victims of confirmed/founded abuse by age group.</t>
  </si>
  <si>
    <t>Child Abuse or Neglect Over Time (per 1,000 population)</t>
  </si>
  <si>
    <t>dem</t>
  </si>
  <si>
    <t>eco</t>
  </si>
  <si>
    <t>hsn</t>
  </si>
  <si>
    <t>srv</t>
  </si>
  <si>
    <t>Demographic</t>
  </si>
  <si>
    <t>Education</t>
  </si>
  <si>
    <t>app</t>
  </si>
  <si>
    <t>cip</t>
  </si>
  <si>
    <t>hom</t>
  </si>
  <si>
    <t>une</t>
  </si>
  <si>
    <t>hse</t>
  </si>
  <si>
    <t>rsk</t>
  </si>
  <si>
    <t>chl</t>
  </si>
  <si>
    <t>dis</t>
  </si>
  <si>
    <t>edu</t>
  </si>
  <si>
    <t>crm</t>
  </si>
  <si>
    <t>ser</t>
  </si>
  <si>
    <t>arr</t>
  </si>
  <si>
    <t>adr</t>
  </si>
  <si>
    <t>btm</t>
  </si>
  <si>
    <t>bum</t>
  </si>
  <si>
    <t>can</t>
  </si>
  <si>
    <t>age</t>
  </si>
  <si>
    <t>cca</t>
  </si>
  <si>
    <t>rac</t>
  </si>
  <si>
    <t>cum</t>
  </si>
  <si>
    <t>dnt</t>
  </si>
  <si>
    <t>cds</t>
  </si>
  <si>
    <t>dmv</t>
  </si>
  <si>
    <t>fst</t>
  </si>
  <si>
    <t>hcc</t>
  </si>
  <si>
    <t>hdp</t>
  </si>
  <si>
    <t>typ</t>
  </si>
  <si>
    <t>imm</t>
  </si>
  <si>
    <t>ipc</t>
  </si>
  <si>
    <t>lng</t>
  </si>
  <si>
    <t>lme</t>
  </si>
  <si>
    <t>eam</t>
  </si>
  <si>
    <t>mow</t>
  </si>
  <si>
    <t>pit</t>
  </si>
  <si>
    <t>pte</t>
  </si>
  <si>
    <t>plw</t>
  </si>
  <si>
    <t>snp</t>
  </si>
  <si>
    <t>tch</t>
  </si>
  <si>
    <t>trn</t>
  </si>
  <si>
    <t>uer</t>
  </si>
  <si>
    <t>wrk</t>
  </si>
  <si>
    <t>sch</t>
  </si>
  <si>
    <t>CodeDim</t>
  </si>
  <si>
    <t>CodeMsr</t>
  </si>
  <si>
    <t>CodeInd</t>
  </si>
  <si>
    <t>fpl</t>
  </si>
  <si>
    <t>frl</t>
  </si>
  <si>
    <t>els</t>
  </si>
  <si>
    <t>seh</t>
  </si>
  <si>
    <t>wic</t>
  </si>
  <si>
    <t>percent</t>
  </si>
  <si>
    <t>rate</t>
  </si>
  <si>
    <t>Data Type</t>
  </si>
  <si>
    <t>ftm</t>
  </si>
  <si>
    <t>VLUP</t>
  </si>
  <si>
    <t>IndicatorID</t>
  </si>
  <si>
    <t>FigureID</t>
  </si>
  <si>
    <t>Comments</t>
  </si>
  <si>
    <t>ComputedBy</t>
  </si>
  <si>
    <t>Jamy</t>
  </si>
  <si>
    <t>It is in the data file along with the birth risk indicators</t>
  </si>
  <si>
    <t>Gio</t>
  </si>
  <si>
    <t>It is a subset of the birth risk indicator "Medicaid or WIC Receipt at Birth" where subset is "Medicaid or WIC"</t>
  </si>
  <si>
    <t>Add mothers receiving WIC data from Birth Records as a 4th bar chart. It is a subset of the birth risk indicator "Medicaid or WIC Receipt at Birth" where subset is "WIC Receipt Only"</t>
  </si>
  <si>
    <t>Grand Total</t>
  </si>
  <si>
    <t>Indicators Computed By</t>
  </si>
  <si>
    <t>Number of Indicators</t>
  </si>
  <si>
    <t>Percent of Indicators</t>
  </si>
  <si>
    <t>Summary Tables</t>
  </si>
  <si>
    <t>Gio/Jamy</t>
  </si>
  <si>
    <t xml:space="preserve">Indicators Computed by </t>
  </si>
  <si>
    <t>2-year-old Children</t>
  </si>
  <si>
    <t>Immunization</t>
  </si>
  <si>
    <t>Fig 3. Immunizaed Kids</t>
  </si>
  <si>
    <t>No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</si>
</sst>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sz val="11"/>
      <name val="Consolas"/>
      <family val="3"/>
    </font>
    <font>
      <b/>
      <sz val="11"/>
      <color theme="0"/>
      <name val="Consolas"/>
      <family val="3"/>
    </font>
    <font>
      <sz val="11"/>
      <color rgb="FFFF0000"/>
      <name val="Consolas"/>
      <family val="3"/>
    </font>
    <font>
      <sz val="11"/>
      <color rgb="FF000000"/>
      <name val="Calibri"/>
      <family val="2"/>
    </font>
    <font>
      <sz val="11"/>
      <color rgb="FF000000"/>
      <name val="Consolas"/>
      <family val="3"/>
    </font>
    <font>
      <sz val="11"/>
      <color theme="1"/>
      <name val="Bahnschrift SemiBold"/>
      <family val="2"/>
    </font>
    <font>
      <sz val="14"/>
      <color theme="1"/>
      <name val="Bahnschrift SemiBold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3" fillId="33" borderId="11" xfId="0" applyFont="1" applyFill="1" applyBorder="1" applyAlignment="1"/>
    <xf numFmtId="0" fontId="0" fillId="0" borderId="11" xfId="0" applyFont="1" applyBorder="1" applyAlignment="1"/>
    <xf numFmtId="0" fontId="0" fillId="0" borderId="11" xfId="0" applyFont="1" applyBorder="1"/>
    <xf numFmtId="0" fontId="18" fillId="0" borderId="10" xfId="0" applyFont="1" applyBorder="1" applyAlignment="1"/>
    <xf numFmtId="0" fontId="19" fillId="0" borderId="10" xfId="0" applyFont="1" applyBorder="1" applyAlignment="1"/>
    <xf numFmtId="0" fontId="18" fillId="0" borderId="11" xfId="0" applyFont="1" applyBorder="1" applyAlignment="1"/>
    <xf numFmtId="0" fontId="19" fillId="0" borderId="11" xfId="0" applyFont="1" applyBorder="1"/>
    <xf numFmtId="0" fontId="18" fillId="0" borderId="0" xfId="0" applyFont="1" applyAlignment="1"/>
    <xf numFmtId="0" fontId="20" fillId="33" borderId="10" xfId="0" applyFont="1" applyFill="1" applyBorder="1" applyAlignment="1"/>
    <xf numFmtId="0" fontId="20" fillId="33" borderId="11" xfId="0" applyFont="1" applyFill="1" applyBorder="1" applyAlignment="1"/>
    <xf numFmtId="0" fontId="18" fillId="0" borderId="12" xfId="0" applyFont="1" applyBorder="1" applyAlignment="1"/>
    <xf numFmtId="0" fontId="18" fillId="0" borderId="0" xfId="0" applyFont="1" applyBorder="1" applyAlignment="1"/>
    <xf numFmtId="0" fontId="0" fillId="0" borderId="0" xfId="0" applyBorder="1" applyAlignment="1"/>
    <xf numFmtId="0" fontId="0" fillId="0" borderId="0" xfId="0" applyBorder="1"/>
    <xf numFmtId="0" fontId="21" fillId="0" borderId="11" xfId="0" applyFont="1" applyBorder="1" applyAlignment="1"/>
    <xf numFmtId="0" fontId="22" fillId="0" borderId="0" xfId="0" applyFont="1" applyBorder="1" applyAlignment="1"/>
    <xf numFmtId="0" fontId="20" fillId="33" borderId="0" xfId="0" applyFont="1" applyFill="1" applyAlignment="1"/>
    <xf numFmtId="0" fontId="23" fillId="0" borderId="0" xfId="0" applyFont="1" applyBorder="1" applyAlignment="1"/>
    <xf numFmtId="0" fontId="18" fillId="0" borderId="0" xfId="0" pivotButton="1" applyFont="1" applyAlignment="1">
      <alignment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left"/>
    </xf>
    <xf numFmtId="0" fontId="24" fillId="0" borderId="0" xfId="0" applyFont="1"/>
    <xf numFmtId="0" fontId="18" fillId="0" borderId="0" xfId="0" applyNumberFormat="1" applyFont="1" applyAlignment="1">
      <alignment horizontal="right"/>
    </xf>
    <xf numFmtId="9" fontId="18" fillId="0" borderId="0" xfId="0" applyNumberFormat="1" applyFont="1" applyAlignment="1">
      <alignment horizontal="right"/>
    </xf>
    <xf numFmtId="0" fontId="25" fillId="0" borderId="0" xfId="0" applyFont="1"/>
    <xf numFmtId="0" fontId="21" fillId="0" borderId="0" xfId="0" applyNumberFormat="1" applyFont="1" applyAlignment="1"/>
    <xf numFmtId="0" fontId="21" fillId="0" borderId="10" xfId="0" applyFont="1" applyBorder="1" applyAlignment="1"/>
    <xf numFmtId="0" fontId="14" fillId="0" borderId="11" xfId="0" applyFont="1" applyBorder="1" applyAlignment="1"/>
    <xf numFmtId="0" fontId="14" fillId="0" borderId="11" xfId="0" applyFont="1" applyBorder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fill>
        <patternFill>
          <bgColor theme="7"/>
        </patternFill>
      </fill>
    </dxf>
    <dxf>
      <alignment horizontal="right"/>
    </dxf>
    <dxf>
      <font>
        <name val="Consolas"/>
        <family val="3"/>
        <scheme val="none"/>
      </font>
    </dxf>
    <dxf>
      <font>
        <name val="Consolas"/>
        <family val="3"/>
        <scheme val="none"/>
      </font>
    </dxf>
    <dxf>
      <font>
        <name val="Consolas"/>
        <family val="3"/>
        <scheme val="none"/>
      </font>
    </dxf>
    <dxf>
      <font>
        <name val="Consolas"/>
        <family val="3"/>
        <scheme val="none"/>
      </font>
    </dxf>
    <dxf>
      <font>
        <name val="Consolas"/>
        <family val="3"/>
        <scheme val="none"/>
      </font>
    </dxf>
    <dxf>
      <font>
        <name val="Consolas"/>
        <family val="3"/>
        <scheme val="none"/>
      </font>
    </dxf>
    <dxf>
      <alignment horizontal="center"/>
    </dxf>
    <dxf>
      <alignment wrapText="1"/>
    </dxf>
    <dxf>
      <alignment wrapText="1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general" vertical="bottom" textRotation="0" wrapText="0" indent="0" justifyLastLine="0" shrinkToFit="0" readingOrder="0"/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general" vertical="bottom" textRotation="0" wrapText="0" indent="0" justifyLastLine="0" shrinkToFit="0" readingOrder="0"/>
    </dxf>
    <dxf>
      <border outline="0">
        <right style="thin">
          <color theme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ghladze, Giorgi [HD FS]" refreshedDate="46051.547628819448" createdVersion="6" refreshedVersion="6" minRefreshableVersion="3" recordCount="41" xr:uid="{7B40BD48-470E-45E7-A0A9-4A6DADD31C01}">
  <cacheSource type="worksheet">
    <worksheetSource name="IndicatorType"/>
  </cacheSource>
  <cacheFields count="11">
    <cacheField name="VLUP" numFmtId="0">
      <sharedItems/>
    </cacheField>
    <cacheField name="IndicatorID" numFmtId="0">
      <sharedItems/>
    </cacheField>
    <cacheField name="CodeDim" numFmtId="0">
      <sharedItems/>
    </cacheField>
    <cacheField name="CodeMsr" numFmtId="0">
      <sharedItems/>
    </cacheField>
    <cacheField name="CodeInd" numFmtId="0">
      <sharedItems/>
    </cacheField>
    <cacheField name="Dimension" numFmtId="0">
      <sharedItems/>
    </cacheField>
    <cacheField name="Measure" numFmtId="0">
      <sharedItems/>
    </cacheField>
    <cacheField name="Indicator" numFmtId="0">
      <sharedItems/>
    </cacheField>
    <cacheField name="Data Type" numFmtId="0">
      <sharedItems/>
    </cacheField>
    <cacheField name="Comments" numFmtId="0">
      <sharedItems containsBlank="1"/>
    </cacheField>
    <cacheField name="ComputedBy" numFmtId="0">
      <sharedItems count="3">
        <s v="Jamy"/>
        <s v="Gio"/>
        <s v="Gio/Jam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DemographicChild DemographicsChild Age"/>
    <s v="DEM.DEM.AGE"/>
    <s v="dem"/>
    <s v="dem"/>
    <s v="age"/>
    <s v="Demographic"/>
    <s v="Child Demographics"/>
    <s v="Child Age"/>
    <s v="percent"/>
    <m/>
    <x v="0"/>
  </r>
  <r>
    <s v="DemographicChild DemographicsChild Race and Ethnicity"/>
    <s v="DEM.DEM.RAC"/>
    <s v="dem"/>
    <s v="dem"/>
    <s v="rac"/>
    <s v="Demographic"/>
    <s v="Child Demographics"/>
    <s v="Child Race and Ethnicity"/>
    <s v="percent"/>
    <m/>
    <x v="0"/>
  </r>
  <r>
    <s v="DemographicHousehold CharacteristicsFirst Time Mother"/>
    <s v="DEM.HSE.FTM"/>
    <s v="dem"/>
    <s v="hse"/>
    <s v="ftm"/>
    <s v="Demographic"/>
    <s v="Household Characteristics"/>
    <s v="First Time Mother"/>
    <s v="percent"/>
    <s v="It is in the data file along with the birth risk indicators"/>
    <x v="1"/>
  </r>
  <r>
    <s v="DemographicHousehold CharacteristicsLanguage Spoken at Home"/>
    <s v="DEM.HSE.LNG"/>
    <s v="dem"/>
    <s v="hse"/>
    <s v="lng"/>
    <s v="Demographic"/>
    <s v="Household Characteristics"/>
    <s v="Language Spoken at Home"/>
    <s v="percent"/>
    <m/>
    <x v="0"/>
  </r>
  <r>
    <s v="DemographicHousehold CharacteristicsWork Schedules"/>
    <s v="DEM.HSE.SCH"/>
    <s v="dem"/>
    <s v="hse"/>
    <s v="sch"/>
    <s v="Demographic"/>
    <s v="Household Characteristics"/>
    <s v="Work Schedules"/>
    <s v="percent"/>
    <m/>
    <x v="0"/>
  </r>
  <r>
    <s v="DemographicHousehold CharacteristicsTechnology Access"/>
    <s v="DEM.HSE.TCH"/>
    <s v="dem"/>
    <s v="hse"/>
    <s v="tch"/>
    <s v="Demographic"/>
    <s v="Household Characteristics"/>
    <s v="Technology Access"/>
    <s v="percent"/>
    <m/>
    <x v="0"/>
  </r>
  <r>
    <s v="DemographicHousehold CharacteristicsTransportation"/>
    <s v="DEM.HSE.TRN"/>
    <s v="dem"/>
    <s v="hse"/>
    <s v="trn"/>
    <s v="Demographic"/>
    <s v="Household Characteristics"/>
    <s v="Transportation"/>
    <s v="percent"/>
    <m/>
    <x v="0"/>
  </r>
  <r>
    <s v="DemographicHousehold CharacteristicsHousehold Type"/>
    <s v="DEM.HSE.TYP"/>
    <s v="dem"/>
    <s v="hse"/>
    <s v="typ"/>
    <s v="Demographic"/>
    <s v="Household Characteristics"/>
    <s v="Household Type"/>
    <s v="percent"/>
    <m/>
    <x v="0"/>
  </r>
  <r>
    <s v="DemographicHousehold CharacteristicsWorking Parents"/>
    <s v="DEM.HSE.WRK"/>
    <s v="dem"/>
    <s v="hse"/>
    <s v="wrk"/>
    <s v="Demographic"/>
    <s v="Household Characteristics"/>
    <s v="Working Parents"/>
    <s v="percent"/>
    <m/>
    <x v="0"/>
  </r>
  <r>
    <s v="EconomicAll People in PovertyFederal Poverty Level (FPL)"/>
    <s v="ECO.APP.FPL"/>
    <s v="eco"/>
    <s v="app"/>
    <s v="fpl"/>
    <s v="Economic"/>
    <s v="All People in Poverty"/>
    <s v="Federal Poverty Level (FPL)"/>
    <s v="percent"/>
    <m/>
    <x v="0"/>
  </r>
  <r>
    <s v="EconomicChildren in PovertyFederal Poverty Level (FPL)"/>
    <s v="ECO.CIP.FPL"/>
    <s v="eco"/>
    <s v="cip"/>
    <s v="fpl"/>
    <s v="Economic"/>
    <s v="Children in Poverty"/>
    <s v="Federal Poverty Level (FPL)"/>
    <s v="percent"/>
    <m/>
    <x v="0"/>
  </r>
  <r>
    <s v="EconomicChildren in PovertyFree or Reduced Price Lunch (FRPL)"/>
    <s v="ECO.CIP.FRL"/>
    <s v="eco"/>
    <s v="cip"/>
    <s v="frl"/>
    <s v="Economic"/>
    <s v="Children in Poverty"/>
    <s v="Free or Reduced Price Lunch (FRPL)"/>
    <s v="percent"/>
    <m/>
    <x v="0"/>
  </r>
  <r>
    <s v="EconomicChildren in PovertyMedicaid or WIC Receipt at Birth"/>
    <s v="ECO.CIP.MOW"/>
    <s v="eco"/>
    <s v="cip"/>
    <s v="mow"/>
    <s v="Economic"/>
    <s v="Children in Poverty"/>
    <s v="Medicaid or WIC Receipt at Birth"/>
    <s v="percent"/>
    <s v="It is a subset of the birth risk indicator &quot;Medicaid or WIC Receipt at Birth&quot; where subset is &quot;Medicaid or WIC&quot;"/>
    <x v="1"/>
  </r>
  <r>
    <s v="EconomicHomelessnessPoint in Time (PIT)"/>
    <s v="ECO.HOM.PIT"/>
    <s v="eco"/>
    <s v="hom"/>
    <s v="pit"/>
    <s v="Economic"/>
    <s v="Homelessness"/>
    <s v="Point in Time (PIT)"/>
    <s v="rate"/>
    <m/>
    <x v="0"/>
  </r>
  <r>
    <s v="EconomicHomelessnessStudents Facing Homelessness"/>
    <s v="ECO.HOM.SEH"/>
    <s v="eco"/>
    <s v="hom"/>
    <s v="seh"/>
    <s v="Economic"/>
    <s v="Homelessness"/>
    <s v="Students Facing Homelessness"/>
    <s v="percent"/>
    <m/>
    <x v="0"/>
  </r>
  <r>
    <s v="EconomicUnemploymentUnemployment"/>
    <s v="ECO.UNE.UER"/>
    <s v="eco"/>
    <s v="une"/>
    <s v="uer"/>
    <s v="Economic"/>
    <s v="Unemployment"/>
    <s v="Unemployment"/>
    <s v="percent"/>
    <m/>
    <x v="0"/>
  </r>
  <r>
    <s v="Health and Social NeedsChild HealthChild Abuse or Neglect"/>
    <s v="HSN.CHL.CAN"/>
    <s v="hsn"/>
    <s v="chl"/>
    <s v="can"/>
    <s v="Health and Social Needs"/>
    <s v="Child Health"/>
    <s v="Child Abuse or Neglect"/>
    <s v="rate"/>
    <m/>
    <x v="0"/>
  </r>
  <r>
    <s v="Health and Social NeedsChild HealthImmunizations"/>
    <s v="HSN.CHL.IMM"/>
    <s v="hsn"/>
    <s v="chl"/>
    <s v="imm"/>
    <s v="Health and Social Needs"/>
    <s v="Child Health"/>
    <s v="Immunizations"/>
    <s v="percent"/>
    <m/>
    <x v="0"/>
  </r>
  <r>
    <s v="Health and Social NeedsCommunity CrimeAlcohol and Drug-Related Crime"/>
    <s v="HSN.CRM.ADR"/>
    <s v="hsn"/>
    <s v="crm"/>
    <s v="adr"/>
    <s v="Health and Social Needs"/>
    <s v="Community Crime"/>
    <s v="Alcohol and Drug-Related Crime"/>
    <s v="rate"/>
    <m/>
    <x v="0"/>
  </r>
  <r>
    <s v="Health and Social NeedsCommunity CrimeArrest"/>
    <s v="HSN.CRM.ARR"/>
    <s v="hsn"/>
    <s v="crm"/>
    <s v="arr"/>
    <s v="Health and Social Needs"/>
    <s v="Community Crime"/>
    <s v="Arrest"/>
    <s v="rate"/>
    <m/>
    <x v="0"/>
  </r>
  <r>
    <s v="Health and Social NeedsCommunity CrimeDomestic Violence"/>
    <s v="HSN.CRM.DMV"/>
    <s v="hsn"/>
    <s v="crm"/>
    <s v="dmv"/>
    <s v="Health and Social Needs"/>
    <s v="Community Crime"/>
    <s v="Domestic Violence"/>
    <s v="rate"/>
    <m/>
    <x v="0"/>
  </r>
  <r>
    <s v="Health and Social NeedsCommunity CrimeSerious Crime"/>
    <s v="HSN.CRM.SER"/>
    <s v="hsn"/>
    <s v="crm"/>
    <s v="ser"/>
    <s v="Health and Social Needs"/>
    <s v="Community Crime"/>
    <s v="Serious Crime"/>
    <s v="rate"/>
    <m/>
    <x v="0"/>
  </r>
  <r>
    <s v="Health and Social NeedsDisabilitiesDisabilities"/>
    <s v="HSN.DIS.CDS"/>
    <s v="hsn"/>
    <s v="dis"/>
    <s v="cds"/>
    <s v="Health and Social Needs"/>
    <s v="Disabilities"/>
    <s v="Disabilities"/>
    <s v="percent"/>
    <m/>
    <x v="0"/>
  </r>
  <r>
    <s v="Health and Social NeedsEducationMaternal Education"/>
    <s v="HSN.EDU.EAM"/>
    <s v="hsn"/>
    <s v="edu"/>
    <s v="eam"/>
    <s v="Health and Social Needs"/>
    <s v="Education"/>
    <s v="Maternal Education"/>
    <s v="percent"/>
    <m/>
    <x v="1"/>
  </r>
  <r>
    <s v="Health and Social NeedsEducationEarly Literacy Skills"/>
    <s v="HSN.EDU.ELS"/>
    <s v="hsn"/>
    <s v="edu"/>
    <s v="els"/>
    <s v="Health and Social Needs"/>
    <s v="Education"/>
    <s v="Early Literacy Skills"/>
    <s v="percent"/>
    <m/>
    <x v="0"/>
  </r>
  <r>
    <s v="Health and Social NeedsEducationDropout Rate"/>
    <s v="HSN.EDU.HDP"/>
    <s v="hsn"/>
    <s v="edu"/>
    <s v="hdp"/>
    <s v="Health and Social Needs"/>
    <s v="Education"/>
    <s v="Dropout Rate"/>
    <s v="percent"/>
    <m/>
    <x v="0"/>
  </r>
  <r>
    <s v="Health and Social NeedsEducationSchool Enrollment"/>
    <s v="HSN.EDU.SCH"/>
    <s v="hsn"/>
    <s v="edu"/>
    <s v="sch"/>
    <s v="Health and Social Needs"/>
    <s v="Education"/>
    <s v="School Enrollment"/>
    <s v="percent"/>
    <m/>
    <x v="0"/>
  </r>
  <r>
    <s v="Health and Social NeedsBirth RisksBirth to Teenage Mother"/>
    <s v="HSN.RSK.BTM"/>
    <s v="hsn"/>
    <s v="rsk"/>
    <s v="btm"/>
    <s v="Health and Social Needs"/>
    <s v="Birth Risks"/>
    <s v="Birth to Teenage Mother"/>
    <s v="percent"/>
    <m/>
    <x v="1"/>
  </r>
  <r>
    <s v="Health and Social NeedsBirth RisksBirth to Unmarried Mother"/>
    <s v="HSN.RSK.BUM"/>
    <s v="hsn"/>
    <s v="rsk"/>
    <s v="bum"/>
    <s v="Health and Social Needs"/>
    <s v="Birth Risks"/>
    <s v="Birth to Unmarried Mother"/>
    <s v="percent"/>
    <m/>
    <x v="1"/>
  </r>
  <r>
    <s v="Health and Social NeedsBirth RisksCumulative Birth Risks"/>
    <s v="HSN.RSK.CUM"/>
    <s v="hsn"/>
    <s v="rsk"/>
    <s v="cum"/>
    <s v="Health and Social Needs"/>
    <s v="Birth Risks"/>
    <s v="Cumulative Birth Risks"/>
    <s v="percent"/>
    <m/>
    <x v="1"/>
  </r>
  <r>
    <s v="Health and Social NeedsBirth RisksInadequate Prenatal Care"/>
    <s v="HSN.RSK.IPC"/>
    <s v="hsn"/>
    <s v="rsk"/>
    <s v="ipc"/>
    <s v="Health and Social Needs"/>
    <s v="Birth Risks"/>
    <s v="Inadequate Prenatal Care"/>
    <s v="percent"/>
    <m/>
    <x v="1"/>
  </r>
  <r>
    <s v="Health and Social NeedsBirth RisksLow Maternal Education at Birth"/>
    <s v="HSN.RSK.LME"/>
    <s v="hsn"/>
    <s v="rsk"/>
    <s v="lme"/>
    <s v="Health and Social Needs"/>
    <s v="Birth Risks"/>
    <s v="Low Maternal Education at Birth"/>
    <s v="percent"/>
    <m/>
    <x v="1"/>
  </r>
  <r>
    <s v="Health and Social NeedsBirth RisksMedicaid or WIC Receipt at Birth"/>
    <s v="HSN.RSK.MOW"/>
    <s v="hsn"/>
    <s v="rsk"/>
    <s v="mow"/>
    <s v="Health and Social Needs"/>
    <s v="Birth Risks"/>
    <s v="Medicaid or WIC Receipt at Birth"/>
    <s v="percent"/>
    <m/>
    <x v="1"/>
  </r>
  <r>
    <s v="Health and Social NeedsBirth RisksPreterm or Low Birth Weight"/>
    <s v="HSN.RSK.PLW"/>
    <s v="hsn"/>
    <s v="rsk"/>
    <s v="plw"/>
    <s v="Health and Social Needs"/>
    <s v="Birth Risks"/>
    <s v="Preterm or Low Birth Weight"/>
    <s v="percent"/>
    <m/>
    <x v="1"/>
  </r>
  <r>
    <s v="Health and Social NeedsBirth RisksPrenatal Tobacco Exposure"/>
    <s v="HSN.RSK.PTE"/>
    <s v="hsn"/>
    <s v="rsk"/>
    <s v="pte"/>
    <s v="Health and Social Needs"/>
    <s v="Birth Risks"/>
    <s v="Prenatal Tobacco Exposure"/>
    <s v="percent"/>
    <m/>
    <x v="1"/>
  </r>
  <r>
    <s v="ServicesHuman ServicesAvailability of Child Care"/>
    <s v="SRV.SER.CCA"/>
    <s v="srv"/>
    <s v="ser"/>
    <s v="cca"/>
    <s v="Services"/>
    <s v="Human Services"/>
    <s v="Availability of Child Care"/>
    <s v="percent"/>
    <m/>
    <x v="1"/>
  </r>
  <r>
    <s v="ServicesHuman ServicesDental Services"/>
    <s v="SRV.SER.DNT"/>
    <s v="srv"/>
    <s v="ser"/>
    <s v="dnt"/>
    <s v="Services"/>
    <s v="Human Services"/>
    <s v="Dental Services"/>
    <s v="percent"/>
    <m/>
    <x v="1"/>
  </r>
  <r>
    <s v="ServicesHuman ServicesFoster Care"/>
    <s v="SRV.SER.FST"/>
    <s v="srv"/>
    <s v="ser"/>
    <s v="fst"/>
    <s v="Services"/>
    <s v="Human Services"/>
    <s v="Foster Care"/>
    <s v="rate"/>
    <m/>
    <x v="0"/>
  </r>
  <r>
    <s v="ServicesHuman ServicesHealth Coverage"/>
    <s v="SRV.SER.HCC"/>
    <s v="srv"/>
    <s v="ser"/>
    <s v="hcc"/>
    <s v="Services"/>
    <s v="Human Services"/>
    <s v="Health Coverage"/>
    <s v="percent"/>
    <m/>
    <x v="0"/>
  </r>
  <r>
    <s v="ServicesHuman ServicesSNAP"/>
    <s v="SRV.SER.SNP"/>
    <s v="srv"/>
    <s v="ser"/>
    <s v="snp"/>
    <s v="Services"/>
    <s v="Human Services"/>
    <s v="SNAP"/>
    <s v="percent"/>
    <m/>
    <x v="0"/>
  </r>
  <r>
    <s v="ServicesHuman ServicesWIC"/>
    <s v="SRV.SER.WIC"/>
    <s v="srv"/>
    <s v="ser"/>
    <s v="wic"/>
    <s v="Services"/>
    <s v="Human Services"/>
    <s v="WIC"/>
    <s v="percent"/>
    <s v="Add mothers receiving WIC data from Birth Records as a 4th bar chart. It is a subset of the birth risk indicator &quot;Medicaid or WIC Receipt at Birth&quot; where subset is &quot;WIC Receipt Only&quot;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10269-B0BE-4929-BF87-30C37A909460}" name="PivotTable1" cacheId="0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 rowHeaderCaption="Indicators Computed By">
  <location ref="B4:D8" firstHeaderRow="0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Indicators" fld="10" subtotal="count" baseField="0" baseItem="0"/>
    <dataField name="Percent of Indicators" fld="10" subtotal="count" showDataAs="percentOfTotal" baseField="0" baseItem="0" numFmtId="9"/>
  </dataFields>
  <formats count="11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field="10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10" type="button" dataOnly="0" labelOnly="1" outline="0" axis="axisRow" fieldPosition="0"/>
    </format>
    <format dxfId="4">
      <pivotArea dataOnly="0" labelOnly="1" fieldPosition="0">
        <references count="1">
          <reference field="10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outline="0" collapsedLevelsAreSubtotals="1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3B1C9-B5D3-4474-9D5F-318B476A3360}" name="Table1" displayName="Table1" ref="A1:Q150" totalsRowShown="0" headerRowDxfId="45" dataDxfId="44" tableBorderDxfId="43">
  <autoFilter ref="A1:Q150" xr:uid="{0AC4A32E-D3F5-43D3-8546-EA9B69D2C5FA}">
    <filterColumn colId="6">
      <filters>
        <filter val="3"/>
      </filters>
    </filterColumn>
  </autoFilter>
  <sortState ref="A93:Q101">
    <sortCondition ref="G1:G150"/>
  </sortState>
  <tableColumns count="17">
    <tableColumn id="1" xr3:uid="{350E42F7-F668-44CF-AC33-D55A845345D3}" name="FigureID" dataDxfId="42">
      <calculatedColumnFormula>_xlfn.CONCAT(VLOOKUP(_xlfn.CONCAT(Table1[[#This Row],[Dimension]],Table1[[#This Row],[Measure]],Table1[[#This Row],[Indicator]]),IndicatorType[],2,FALSE),".00",Table1[[#This Row],[Figure  ]])</calculatedColumnFormula>
    </tableColumn>
    <tableColumn id="2" xr3:uid="{87D1E273-7175-4BCC-8120-5F1F3F197F63}" name="Dimension" dataDxfId="41"/>
    <tableColumn id="3" xr3:uid="{110441B8-5BD8-4C96-8717-2070C1C7F624}" name="Measure" dataDxfId="40"/>
    <tableColumn id="4" xr3:uid="{A89234EC-C30C-44DC-A563-05B54C91F557}" name="Indicator" dataDxfId="39"/>
    <tableColumn id="5" xr3:uid="{3AE7CAF6-DC05-4DB6-8B1E-0E1A319878BB}" name="Subsets" dataDxfId="38"/>
    <tableColumn id="6" xr3:uid="{25F157D7-4EDF-4F36-AA3D-8D5262D3BCA2}" name="Groups" dataDxfId="37"/>
    <tableColumn id="7" xr3:uid="{14A1A8CB-BFA9-41C1-A418-9852532457A8}" name="Figure  " dataDxfId="36"/>
    <tableColumn id="8" xr3:uid="{CCE643F0-5D53-49C6-B6BC-26C3DBA09680}" name="Title" dataDxfId="35"/>
    <tableColumn id="9" xr3:uid="{FA5A18C6-2558-4544-89AD-3BD4D03B7A78}" name="Tool Tip Text" dataDxfId="34"/>
    <tableColumn id="10" xr3:uid="{C15F9F92-6D2D-4EF4-A9E8-52F19DB118E7}" name="Chart Type" dataDxfId="33"/>
    <tableColumn id="11" xr3:uid="{B9E76BF4-4B13-421A-8ABE-255369C45A42}" name="Timeframe" dataDxfId="32"/>
    <tableColumn id="12" xr3:uid="{6014BC8A-F109-40CC-A4D6-C01F195C26AE}" name="Numerator" dataDxfId="31"/>
    <tableColumn id="13" xr3:uid="{31C455B1-3771-46F7-9F9D-096909917EB8}" name="Num_source" dataDxfId="30"/>
    <tableColumn id="14" xr3:uid="{7CB3CE00-A5BB-459B-AB46-971BE0B8B106}" name="Denominator" dataDxfId="29"/>
    <tableColumn id="15" xr3:uid="{DCADC6EF-45EE-424F-BFA2-709FDA791C3B}" name="Den_source" dataDxfId="28"/>
    <tableColumn id="16" xr3:uid="{D8803A93-828E-4BA4-80E0-E0D57BE3F29F}" name="Text to Include with Chart Download" dataDxfId="27"/>
    <tableColumn id="17" xr3:uid="{C5863C3F-9075-4B20-A636-F2E17C260017}" name="Notes" dataDxfId="2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4150C7-1BE3-4AD2-813C-6F857E4331FA}" name="IndicatorType" displayName="IndicatorType" ref="A1:K42" totalsRowShown="0" headerRowDxfId="25" dataDxfId="24" tableBorderDxfId="23">
  <autoFilter ref="A1:K42" xr:uid="{0AC4A32E-D3F5-43D3-8546-EA9B69D2C5FA}"/>
  <sortState ref="A2:J42">
    <sortCondition ref="B1:B42"/>
  </sortState>
  <tableColumns count="11">
    <tableColumn id="1" xr3:uid="{8BB510C9-3856-4776-9748-95E49C312F38}" name="VLUP" dataDxfId="22">
      <calculatedColumnFormula>_xlfn.CONCAT(IndicatorType[[#This Row],[Dimension]],IndicatorType[[#This Row],[Measure]],IndicatorType[[#This Row],[Indicator]])</calculatedColumnFormula>
    </tableColumn>
    <tableColumn id="7" xr3:uid="{9546C1A1-578E-4D17-9635-40FDF82CD4C4}" name="IndicatorID" dataDxfId="21">
      <calculatedColumnFormula>UPPER(_xlfn.CONCAT(IndicatorType[[#This Row],[CodeDim]],".",IndicatorType[[#This Row],[CodeMsr]],".",IndicatorType[[#This Row],[CodeInd]]))</calculatedColumnFormula>
    </tableColumn>
    <tableColumn id="20" xr3:uid="{9187F260-66D1-4B5A-9D69-EC2E8C75062F}" name="CodeDim" dataDxfId="20"/>
    <tableColumn id="19" xr3:uid="{079147DF-C18C-4615-BD67-DD8E341D022D}" name="CodeMsr" dataDxfId="19"/>
    <tableColumn id="18" xr3:uid="{658FF864-2269-4908-9945-0821F8B1030B}" name="CodeInd" dataDxfId="18"/>
    <tableColumn id="2" xr3:uid="{58FC67EB-2F1D-42AF-A890-570A48CFF751}" name="Dimension" dataDxfId="17"/>
    <tableColumn id="3" xr3:uid="{0C471E0E-AA62-4645-8064-4F59A45822C4}" name="Measure" dataDxfId="16"/>
    <tableColumn id="4" xr3:uid="{B97F0656-BF62-4E17-96F1-A6142ADCAB0A}" name="Indicator" dataDxfId="15"/>
    <tableColumn id="5" xr3:uid="{E0814273-C288-4DF2-8C90-905AD0D5AEA4}" name="Data Type" dataDxfId="14"/>
    <tableColumn id="6" xr3:uid="{3F2886C1-1086-4B66-BECD-85DAC7F72803}" name="Comments" dataDxfId="13"/>
    <tableColumn id="8" xr3:uid="{585F44AF-4E4B-4CDD-A743-66562926C15A}" name="ComputedBy" dataDxfId="1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"/>
  <sheetViews>
    <sheetView tabSelected="1" zoomScale="95" zoomScaleNormal="95" workbookViewId="0">
      <selection activeCell="D171" sqref="D171"/>
    </sheetView>
  </sheetViews>
  <sheetFormatPr defaultRowHeight="15" x14ac:dyDescent="0.25"/>
  <cols>
    <col min="1" max="1" width="21.42578125" style="12" customWidth="1"/>
    <col min="2" max="2" width="31.140625" style="12" customWidth="1"/>
    <col min="3" max="3" width="35" style="12" customWidth="1"/>
    <col min="4" max="4" width="43" style="12" bestFit="1" customWidth="1"/>
    <col min="5" max="5" width="20.7109375" style="12" customWidth="1"/>
    <col min="6" max="6" width="16.28515625" style="12" customWidth="1"/>
    <col min="7" max="7" width="9.5703125" style="13" customWidth="1"/>
    <col min="8" max="8" width="51.5703125" style="13" customWidth="1"/>
    <col min="9" max="9" width="22.85546875" style="13" customWidth="1"/>
    <col min="10" max="10" width="12.7109375" style="13" customWidth="1"/>
    <col min="11" max="11" width="12.85546875" style="13" customWidth="1"/>
    <col min="12" max="12" width="26.140625" style="13" customWidth="1"/>
    <col min="13" max="13" width="14.42578125" style="13" customWidth="1"/>
    <col min="14" max="14" width="15" style="13" customWidth="1"/>
    <col min="15" max="15" width="13.85546875" style="13" customWidth="1"/>
    <col min="16" max="16" width="35.5703125" style="13" customWidth="1"/>
    <col min="17" max="17" width="9.140625" style="13"/>
    <col min="18" max="16384" width="9.140625" style="14"/>
  </cols>
  <sheetData>
    <row r="1" spans="1:17" customFormat="1" x14ac:dyDescent="0.25">
      <c r="A1" s="8" t="s">
        <v>584</v>
      </c>
      <c r="B1" s="9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6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customFormat="1" hidden="1" x14ac:dyDescent="0.25">
      <c r="A2" s="8" t="str">
        <f>_xlfn.CONCAT(VLOOKUP(_xlfn.CONCAT(Table1[[#This Row],[Dimension]],Table1[[#This Row],[Measure]],Table1[[#This Row],[Indicator]]),IndicatorType[],2,FALSE),".00",Table1[[#This Row],[Figure  ]])</f>
        <v>DEM.DEM.AGE.001</v>
      </c>
      <c r="B2" s="4" t="s">
        <v>526</v>
      </c>
      <c r="C2" s="6" t="s">
        <v>90</v>
      </c>
      <c r="D2" s="6" t="s">
        <v>91</v>
      </c>
      <c r="E2" s="6"/>
      <c r="F2" s="6"/>
      <c r="G2" s="6">
        <v>1</v>
      </c>
      <c r="H2" s="3" t="s">
        <v>91</v>
      </c>
      <c r="I2" s="3" t="s">
        <v>422</v>
      </c>
      <c r="J2" s="3" t="s">
        <v>21</v>
      </c>
      <c r="K2" s="3" t="s">
        <v>22</v>
      </c>
      <c r="L2" s="3" t="s">
        <v>92</v>
      </c>
      <c r="M2" s="3" t="s">
        <v>24</v>
      </c>
      <c r="N2" s="3" t="s">
        <v>93</v>
      </c>
      <c r="O2" s="3" t="s">
        <v>24</v>
      </c>
      <c r="P2" s="2"/>
      <c r="Q2" s="2"/>
    </row>
    <row r="3" spans="1:17" customFormat="1" hidden="1" x14ac:dyDescent="0.25">
      <c r="A3" s="8" t="str">
        <f>_xlfn.CONCAT(VLOOKUP(_xlfn.CONCAT(Table1[[#This Row],[Dimension]],Table1[[#This Row],[Measure]],Table1[[#This Row],[Indicator]]),IndicatorType[],2,FALSE),".00",Table1[[#This Row],[Figure  ]])</f>
        <v>DEM.DEM.AGE.002</v>
      </c>
      <c r="B3" s="4" t="s">
        <v>526</v>
      </c>
      <c r="C3" s="6" t="s">
        <v>90</v>
      </c>
      <c r="D3" s="6" t="s">
        <v>91</v>
      </c>
      <c r="E3" s="6"/>
      <c r="F3" s="6"/>
      <c r="G3" s="6">
        <v>2</v>
      </c>
      <c r="H3" s="3" t="s">
        <v>94</v>
      </c>
      <c r="I3" s="3" t="s">
        <v>423</v>
      </c>
      <c r="J3" s="3" t="s">
        <v>29</v>
      </c>
      <c r="K3" s="3" t="s">
        <v>30</v>
      </c>
      <c r="L3" s="3" t="s">
        <v>92</v>
      </c>
      <c r="M3" s="3" t="s">
        <v>24</v>
      </c>
      <c r="N3" s="3" t="s">
        <v>93</v>
      </c>
      <c r="O3" s="3" t="s">
        <v>24</v>
      </c>
      <c r="P3" s="2"/>
      <c r="Q3" s="2"/>
    </row>
    <row r="4" spans="1:17" customFormat="1" x14ac:dyDescent="0.25">
      <c r="A4" s="8" t="str">
        <f>_xlfn.CONCAT(VLOOKUP(_xlfn.CONCAT(Table1[[#This Row],[Dimension]],Table1[[#This Row],[Measure]],Table1[[#This Row],[Indicator]]),IndicatorType[],2,FALSE),".00",Table1[[#This Row],[Figure  ]])</f>
        <v>DEM.DEM.AGE.003</v>
      </c>
      <c r="B4" s="4" t="s">
        <v>526</v>
      </c>
      <c r="C4" s="6" t="s">
        <v>90</v>
      </c>
      <c r="D4" s="6" t="s">
        <v>91</v>
      </c>
      <c r="E4" s="6"/>
      <c r="F4" s="6"/>
      <c r="G4" s="6">
        <v>3</v>
      </c>
      <c r="H4" s="3" t="s">
        <v>95</v>
      </c>
      <c r="I4" s="3" t="s">
        <v>424</v>
      </c>
      <c r="J4" s="3" t="s">
        <v>33</v>
      </c>
      <c r="K4" s="3" t="s">
        <v>22</v>
      </c>
      <c r="L4" s="3" t="s">
        <v>92</v>
      </c>
      <c r="M4" s="3" t="s">
        <v>24</v>
      </c>
      <c r="N4" s="3" t="s">
        <v>93</v>
      </c>
      <c r="O4" s="3" t="s">
        <v>24</v>
      </c>
      <c r="P4" s="2"/>
      <c r="Q4" s="2"/>
    </row>
    <row r="5" spans="1:17" customFormat="1" hidden="1" x14ac:dyDescent="0.25">
      <c r="A5" s="8" t="str">
        <f>_xlfn.CONCAT(VLOOKUP(_xlfn.CONCAT(Table1[[#This Row],[Dimension]],Table1[[#This Row],[Measure]],Table1[[#This Row],[Indicator]]),IndicatorType[],2,FALSE),".00",Table1[[#This Row],[Figure  ]])</f>
        <v>DEM.DEM.RAC.001</v>
      </c>
      <c r="B5" s="4" t="s">
        <v>526</v>
      </c>
      <c r="C5" s="6" t="s">
        <v>90</v>
      </c>
      <c r="D5" s="6" t="s">
        <v>96</v>
      </c>
      <c r="E5" s="6"/>
      <c r="F5" s="6"/>
      <c r="G5" s="6">
        <v>1</v>
      </c>
      <c r="H5" s="3" t="s">
        <v>96</v>
      </c>
      <c r="I5" s="3" t="s">
        <v>425</v>
      </c>
      <c r="J5" s="3" t="s">
        <v>21</v>
      </c>
      <c r="K5" s="3" t="s">
        <v>22</v>
      </c>
      <c r="L5" s="3" t="s">
        <v>97</v>
      </c>
      <c r="M5" s="3" t="s">
        <v>24</v>
      </c>
      <c r="N5" s="3" t="s">
        <v>98</v>
      </c>
      <c r="O5" s="3" t="s">
        <v>24</v>
      </c>
      <c r="P5" s="2"/>
      <c r="Q5" s="2"/>
    </row>
    <row r="6" spans="1:17" customFormat="1" hidden="1" x14ac:dyDescent="0.25">
      <c r="A6" s="8" t="str">
        <f>_xlfn.CONCAT(VLOOKUP(_xlfn.CONCAT(Table1[[#This Row],[Dimension]],Table1[[#This Row],[Measure]],Table1[[#This Row],[Indicator]]),IndicatorType[],2,FALSE),".00",Table1[[#This Row],[Figure  ]])</f>
        <v>DEM.DEM.RAC.002</v>
      </c>
      <c r="B6" s="4" t="s">
        <v>526</v>
      </c>
      <c r="C6" s="6" t="s">
        <v>90</v>
      </c>
      <c r="D6" s="6" t="s">
        <v>96</v>
      </c>
      <c r="E6" s="6"/>
      <c r="F6" s="6"/>
      <c r="G6" s="6">
        <v>2</v>
      </c>
      <c r="H6" s="3" t="s">
        <v>99</v>
      </c>
      <c r="I6" s="3" t="s">
        <v>426</v>
      </c>
      <c r="J6" s="3" t="s">
        <v>29</v>
      </c>
      <c r="K6" s="3" t="s">
        <v>30</v>
      </c>
      <c r="L6" s="3" t="s">
        <v>97</v>
      </c>
      <c r="M6" s="3" t="s">
        <v>24</v>
      </c>
      <c r="N6" s="3" t="s">
        <v>98</v>
      </c>
      <c r="O6" s="3" t="s">
        <v>24</v>
      </c>
      <c r="P6" s="2"/>
      <c r="Q6" s="2"/>
    </row>
    <row r="7" spans="1:17" customFormat="1" x14ac:dyDescent="0.25">
      <c r="A7" s="8" t="str">
        <f>_xlfn.CONCAT(VLOOKUP(_xlfn.CONCAT(Table1[[#This Row],[Dimension]],Table1[[#This Row],[Measure]],Table1[[#This Row],[Indicator]]),IndicatorType[],2,FALSE),".00",Table1[[#This Row],[Figure  ]])</f>
        <v>DEM.DEM.RAC.003</v>
      </c>
      <c r="B7" s="4" t="s">
        <v>526</v>
      </c>
      <c r="C7" s="6" t="s">
        <v>90</v>
      </c>
      <c r="D7" s="6" t="s">
        <v>96</v>
      </c>
      <c r="E7" s="6"/>
      <c r="F7" s="6"/>
      <c r="G7" s="6">
        <v>3</v>
      </c>
      <c r="H7" s="3" t="s">
        <v>96</v>
      </c>
      <c r="I7" s="3" t="s">
        <v>425</v>
      </c>
      <c r="J7" s="3" t="s">
        <v>33</v>
      </c>
      <c r="K7" s="3" t="s">
        <v>22</v>
      </c>
      <c r="L7" s="3" t="s">
        <v>97</v>
      </c>
      <c r="M7" s="3" t="s">
        <v>24</v>
      </c>
      <c r="N7" s="3" t="s">
        <v>98</v>
      </c>
      <c r="O7" s="3" t="s">
        <v>24</v>
      </c>
      <c r="P7" s="2"/>
      <c r="Q7" s="2"/>
    </row>
    <row r="8" spans="1:17" customFormat="1" hidden="1" x14ac:dyDescent="0.25">
      <c r="A8" s="8" t="str">
        <f>_xlfn.CONCAT(VLOOKUP(_xlfn.CONCAT(Table1[[#This Row],[Dimension]],Table1[[#This Row],[Measure]],Table1[[#This Row],[Indicator]]),IndicatorType[],2,FALSE),".00",Table1[[#This Row],[Figure  ]])</f>
        <v>DEM.HSE.FTM.001</v>
      </c>
      <c r="B8" s="4" t="s">
        <v>526</v>
      </c>
      <c r="C8" s="6" t="s">
        <v>100</v>
      </c>
      <c r="D8" s="6" t="s">
        <v>109</v>
      </c>
      <c r="E8" s="6"/>
      <c r="F8" s="6"/>
      <c r="G8" s="6">
        <v>1</v>
      </c>
      <c r="H8" s="3" t="s">
        <v>109</v>
      </c>
      <c r="I8" s="3" t="s">
        <v>431</v>
      </c>
      <c r="J8" s="3" t="s">
        <v>21</v>
      </c>
      <c r="K8" s="3" t="s">
        <v>22</v>
      </c>
      <c r="L8" s="3" t="s">
        <v>110</v>
      </c>
      <c r="M8" s="3" t="s">
        <v>48</v>
      </c>
      <c r="N8" s="3" t="s">
        <v>111</v>
      </c>
      <c r="O8" s="3" t="s">
        <v>48</v>
      </c>
      <c r="P8" s="2"/>
      <c r="Q8" s="2"/>
    </row>
    <row r="9" spans="1:17" customFormat="1" hidden="1" x14ac:dyDescent="0.25">
      <c r="A9" s="8" t="str">
        <f>_xlfn.CONCAT(VLOOKUP(_xlfn.CONCAT(Table1[[#This Row],[Dimension]],Table1[[#This Row],[Measure]],Table1[[#This Row],[Indicator]]),IndicatorType[],2,FALSE),".00",Table1[[#This Row],[Figure  ]])</f>
        <v>DEM.HSE.FTM.002</v>
      </c>
      <c r="B9" s="4" t="s">
        <v>526</v>
      </c>
      <c r="C9" s="6" t="s">
        <v>100</v>
      </c>
      <c r="D9" s="6" t="s">
        <v>109</v>
      </c>
      <c r="E9" s="6"/>
      <c r="F9" s="6"/>
      <c r="G9" s="6">
        <v>2</v>
      </c>
      <c r="H9" s="3" t="s">
        <v>112</v>
      </c>
      <c r="I9" s="3" t="s">
        <v>431</v>
      </c>
      <c r="J9" s="3" t="s">
        <v>29</v>
      </c>
      <c r="K9" s="3" t="s">
        <v>30</v>
      </c>
      <c r="L9" s="3" t="s">
        <v>110</v>
      </c>
      <c r="M9" s="3" t="s">
        <v>48</v>
      </c>
      <c r="N9" s="3" t="s">
        <v>111</v>
      </c>
      <c r="O9" s="3" t="s">
        <v>48</v>
      </c>
      <c r="P9" s="2"/>
      <c r="Q9" s="2"/>
    </row>
    <row r="10" spans="1:17" customFormat="1" x14ac:dyDescent="0.25">
      <c r="A10" s="8" t="str">
        <f>_xlfn.CONCAT(VLOOKUP(_xlfn.CONCAT(Table1[[#This Row],[Dimension]],Table1[[#This Row],[Measure]],Table1[[#This Row],[Indicator]]),IndicatorType[],2,FALSE),".00",Table1[[#This Row],[Figure  ]])</f>
        <v>DEM.HSE.FTM.003</v>
      </c>
      <c r="B10" s="4" t="s">
        <v>526</v>
      </c>
      <c r="C10" s="6" t="s">
        <v>100</v>
      </c>
      <c r="D10" s="6" t="s">
        <v>109</v>
      </c>
      <c r="E10" s="6"/>
      <c r="F10" s="6"/>
      <c r="G10" s="6">
        <v>3</v>
      </c>
      <c r="H10" s="3" t="s">
        <v>113</v>
      </c>
      <c r="I10" s="3" t="s">
        <v>432</v>
      </c>
      <c r="J10" s="3" t="s">
        <v>33</v>
      </c>
      <c r="K10" s="3" t="s">
        <v>22</v>
      </c>
      <c r="L10" s="3" t="s">
        <v>114</v>
      </c>
      <c r="M10" s="3" t="s">
        <v>48</v>
      </c>
      <c r="N10" s="3" t="s">
        <v>115</v>
      </c>
      <c r="O10" s="3" t="s">
        <v>48</v>
      </c>
      <c r="P10" s="2"/>
      <c r="Q10" s="2"/>
    </row>
    <row r="11" spans="1:17" customFormat="1" hidden="1" x14ac:dyDescent="0.25">
      <c r="A11" s="8" t="str">
        <f>_xlfn.CONCAT(VLOOKUP(_xlfn.CONCAT(Table1[[#This Row],[Dimension]],Table1[[#This Row],[Measure]],Table1[[#This Row],[Indicator]]),IndicatorType[],2,FALSE),".00",Table1[[#This Row],[Figure  ]])</f>
        <v>DEM.HSE.FTM.004</v>
      </c>
      <c r="B11" s="4" t="s">
        <v>526</v>
      </c>
      <c r="C11" s="6" t="s">
        <v>100</v>
      </c>
      <c r="D11" s="6" t="s">
        <v>109</v>
      </c>
      <c r="E11" s="6"/>
      <c r="F11" s="6"/>
      <c r="G11" s="6">
        <v>4</v>
      </c>
      <c r="H11" s="3" t="s">
        <v>116</v>
      </c>
      <c r="I11" s="3" t="s">
        <v>433</v>
      </c>
      <c r="J11" s="3" t="s">
        <v>29</v>
      </c>
      <c r="K11" s="3" t="s">
        <v>30</v>
      </c>
      <c r="L11" s="3" t="s">
        <v>114</v>
      </c>
      <c r="M11" s="3" t="s">
        <v>48</v>
      </c>
      <c r="N11" s="3" t="s">
        <v>115</v>
      </c>
      <c r="O11" s="3" t="s">
        <v>48</v>
      </c>
      <c r="P11" s="2"/>
      <c r="Q11" s="2"/>
    </row>
    <row r="12" spans="1:17" customFormat="1" hidden="1" x14ac:dyDescent="0.25">
      <c r="A12" s="8" t="str">
        <f>_xlfn.CONCAT(VLOOKUP(_xlfn.CONCAT(Table1[[#This Row],[Dimension]],Table1[[#This Row],[Measure]],Table1[[#This Row],[Indicator]]),IndicatorType[],2,FALSE),".00",Table1[[#This Row],[Figure  ]])</f>
        <v>DEM.HSE.TYP.001</v>
      </c>
      <c r="B12" s="4" t="s">
        <v>526</v>
      </c>
      <c r="C12" s="6" t="s">
        <v>100</v>
      </c>
      <c r="D12" s="6" t="s">
        <v>101</v>
      </c>
      <c r="E12" s="6"/>
      <c r="F12" s="6"/>
      <c r="G12" s="6">
        <v>1</v>
      </c>
      <c r="H12" s="3" t="s">
        <v>102</v>
      </c>
      <c r="I12" s="3" t="s">
        <v>427</v>
      </c>
      <c r="J12" s="3" t="s">
        <v>21</v>
      </c>
      <c r="K12" s="3" t="s">
        <v>22</v>
      </c>
      <c r="L12" s="3" t="s">
        <v>103</v>
      </c>
      <c r="M12" s="3" t="s">
        <v>24</v>
      </c>
      <c r="N12" s="3" t="s">
        <v>104</v>
      </c>
      <c r="O12" s="3" t="s">
        <v>24</v>
      </c>
      <c r="P12" s="2"/>
      <c r="Q12" s="2"/>
    </row>
    <row r="13" spans="1:17" customFormat="1" hidden="1" x14ac:dyDescent="0.25">
      <c r="A13" s="8" t="str">
        <f>_xlfn.CONCAT(VLOOKUP(_xlfn.CONCAT(Table1[[#This Row],[Dimension]],Table1[[#This Row],[Measure]],Table1[[#This Row],[Indicator]]),IndicatorType[],2,FALSE),".00",Table1[[#This Row],[Figure  ]])</f>
        <v>DEM.HSE.TYP.002</v>
      </c>
      <c r="B13" s="4" t="s">
        <v>526</v>
      </c>
      <c r="C13" s="6" t="s">
        <v>100</v>
      </c>
      <c r="D13" s="6" t="s">
        <v>101</v>
      </c>
      <c r="E13" s="6"/>
      <c r="F13" s="6"/>
      <c r="G13" s="6">
        <v>2</v>
      </c>
      <c r="H13" s="3" t="s">
        <v>105</v>
      </c>
      <c r="I13" s="3" t="s">
        <v>428</v>
      </c>
      <c r="J13" s="3" t="s">
        <v>29</v>
      </c>
      <c r="K13" s="3" t="s">
        <v>30</v>
      </c>
      <c r="L13" s="3" t="s">
        <v>103</v>
      </c>
      <c r="M13" s="3" t="s">
        <v>24</v>
      </c>
      <c r="N13" s="3" t="s">
        <v>104</v>
      </c>
      <c r="O13" s="3" t="s">
        <v>24</v>
      </c>
      <c r="P13" s="2"/>
      <c r="Q13" s="2"/>
    </row>
    <row r="14" spans="1:17" customFormat="1" x14ac:dyDescent="0.25">
      <c r="A14" s="8" t="str">
        <f>_xlfn.CONCAT(VLOOKUP(_xlfn.CONCAT(Table1[[#This Row],[Dimension]],Table1[[#This Row],[Measure]],Table1[[#This Row],[Indicator]]),IndicatorType[],2,FALSE),".00",Table1[[#This Row],[Figure  ]])</f>
        <v>DEM.HSE.TYP.003</v>
      </c>
      <c r="B14" s="4" t="s">
        <v>526</v>
      </c>
      <c r="C14" s="6" t="s">
        <v>100</v>
      </c>
      <c r="D14" s="6" t="s">
        <v>101</v>
      </c>
      <c r="E14" s="6"/>
      <c r="F14" s="6"/>
      <c r="G14" s="6">
        <v>3</v>
      </c>
      <c r="H14" s="3" t="s">
        <v>101</v>
      </c>
      <c r="I14" s="3" t="s">
        <v>429</v>
      </c>
      <c r="J14" s="3" t="s">
        <v>33</v>
      </c>
      <c r="K14" s="3" t="s">
        <v>22</v>
      </c>
      <c r="L14" s="3" t="s">
        <v>106</v>
      </c>
      <c r="M14" s="3" t="s">
        <v>24</v>
      </c>
      <c r="N14" s="3" t="s">
        <v>107</v>
      </c>
      <c r="O14" s="3" t="s">
        <v>24</v>
      </c>
      <c r="P14" s="2"/>
      <c r="Q14" s="2"/>
    </row>
    <row r="15" spans="1:17" customFormat="1" hidden="1" x14ac:dyDescent="0.25">
      <c r="A15" s="8" t="str">
        <f>_xlfn.CONCAT(VLOOKUP(_xlfn.CONCAT(Table1[[#This Row],[Dimension]],Table1[[#This Row],[Measure]],Table1[[#This Row],[Indicator]]),IndicatorType[],2,FALSE),".00",Table1[[#This Row],[Figure  ]])</f>
        <v>DEM.HSE.TYP.004</v>
      </c>
      <c r="B15" s="4" t="s">
        <v>526</v>
      </c>
      <c r="C15" s="6" t="s">
        <v>100</v>
      </c>
      <c r="D15" s="6" t="s">
        <v>101</v>
      </c>
      <c r="E15" s="6"/>
      <c r="F15" s="6"/>
      <c r="G15" s="6">
        <v>4</v>
      </c>
      <c r="H15" s="3" t="s">
        <v>108</v>
      </c>
      <c r="I15" s="3" t="s">
        <v>430</v>
      </c>
      <c r="J15" s="3" t="s">
        <v>29</v>
      </c>
      <c r="K15" s="3" t="s">
        <v>30</v>
      </c>
      <c r="L15" s="3" t="s">
        <v>106</v>
      </c>
      <c r="M15" s="3" t="s">
        <v>24</v>
      </c>
      <c r="N15" s="3" t="s">
        <v>107</v>
      </c>
      <c r="O15" s="3" t="s">
        <v>24</v>
      </c>
      <c r="P15" s="2"/>
      <c r="Q15" s="2"/>
    </row>
    <row r="16" spans="1:17" customFormat="1" hidden="1" x14ac:dyDescent="0.25">
      <c r="A16" s="8" t="str">
        <f>_xlfn.CONCAT(VLOOKUP(_xlfn.CONCAT(Table1[[#This Row],[Dimension]],Table1[[#This Row],[Measure]],Table1[[#This Row],[Indicator]]),IndicatorType[],2,FALSE),".00",Table1[[#This Row],[Figure  ]])</f>
        <v>DEM.HSE.LNG.001</v>
      </c>
      <c r="B16" s="4" t="s">
        <v>526</v>
      </c>
      <c r="C16" s="6" t="s">
        <v>100</v>
      </c>
      <c r="D16" s="6" t="s">
        <v>121</v>
      </c>
      <c r="E16" s="6"/>
      <c r="F16" s="6"/>
      <c r="G16" s="6">
        <v>1</v>
      </c>
      <c r="H16" s="3" t="s">
        <v>122</v>
      </c>
      <c r="I16" s="3" t="s">
        <v>437</v>
      </c>
      <c r="J16" s="3" t="s">
        <v>21</v>
      </c>
      <c r="K16" s="3" t="s">
        <v>22</v>
      </c>
      <c r="L16" s="3" t="s">
        <v>123</v>
      </c>
      <c r="M16" s="3" t="s">
        <v>24</v>
      </c>
      <c r="N16" s="3" t="s">
        <v>124</v>
      </c>
      <c r="O16" s="3" t="s">
        <v>24</v>
      </c>
      <c r="P16" s="2"/>
      <c r="Q16" s="2"/>
    </row>
    <row r="17" spans="1:17" customFormat="1" hidden="1" x14ac:dyDescent="0.25">
      <c r="A17" s="8" t="str">
        <f>_xlfn.CONCAT(VLOOKUP(_xlfn.CONCAT(Table1[[#This Row],[Dimension]],Table1[[#This Row],[Measure]],Table1[[#This Row],[Indicator]]),IndicatorType[],2,FALSE),".00",Table1[[#This Row],[Figure  ]])</f>
        <v>DEM.HSE.LNG.002</v>
      </c>
      <c r="B17" s="4" t="s">
        <v>526</v>
      </c>
      <c r="C17" s="6" t="s">
        <v>100</v>
      </c>
      <c r="D17" s="6" t="s">
        <v>121</v>
      </c>
      <c r="E17" s="6"/>
      <c r="F17" s="6"/>
      <c r="G17" s="6">
        <v>2</v>
      </c>
      <c r="H17" s="3" t="s">
        <v>125</v>
      </c>
      <c r="I17" s="3" t="s">
        <v>438</v>
      </c>
      <c r="J17" s="3" t="s">
        <v>29</v>
      </c>
      <c r="K17" s="3" t="s">
        <v>30</v>
      </c>
      <c r="L17" s="3" t="s">
        <v>123</v>
      </c>
      <c r="M17" s="3" t="s">
        <v>24</v>
      </c>
      <c r="N17" s="3" t="s">
        <v>124</v>
      </c>
      <c r="O17" s="3" t="s">
        <v>24</v>
      </c>
      <c r="P17" s="2"/>
      <c r="Q17" s="2"/>
    </row>
    <row r="18" spans="1:17" customFormat="1" x14ac:dyDescent="0.25">
      <c r="A18" s="8" t="str">
        <f>_xlfn.CONCAT(VLOOKUP(_xlfn.CONCAT(Table1[[#This Row],[Dimension]],Table1[[#This Row],[Measure]],Table1[[#This Row],[Indicator]]),IndicatorType[],2,FALSE),".00",Table1[[#This Row],[Figure  ]])</f>
        <v>DEM.HSE.LNG.003</v>
      </c>
      <c r="B18" s="4" t="s">
        <v>526</v>
      </c>
      <c r="C18" s="6" t="s">
        <v>100</v>
      </c>
      <c r="D18" s="6" t="s">
        <v>121</v>
      </c>
      <c r="E18" s="6"/>
      <c r="F18" s="6"/>
      <c r="G18" s="6">
        <v>3</v>
      </c>
      <c r="H18" s="3" t="s">
        <v>126</v>
      </c>
      <c r="I18" s="3" t="s">
        <v>439</v>
      </c>
      <c r="J18" s="3" t="s">
        <v>33</v>
      </c>
      <c r="K18" s="3" t="s">
        <v>22</v>
      </c>
      <c r="L18" s="3" t="s">
        <v>127</v>
      </c>
      <c r="M18" s="3" t="s">
        <v>24</v>
      </c>
      <c r="N18" s="3" t="s">
        <v>128</v>
      </c>
      <c r="O18" s="3" t="s">
        <v>24</v>
      </c>
      <c r="P18" s="2"/>
      <c r="Q18" s="2"/>
    </row>
    <row r="19" spans="1:17" customFormat="1" hidden="1" x14ac:dyDescent="0.25">
      <c r="A19" s="8" t="str">
        <f>_xlfn.CONCAT(VLOOKUP(_xlfn.CONCAT(Table1[[#This Row],[Dimension]],Table1[[#This Row],[Measure]],Table1[[#This Row],[Indicator]]),IndicatorType[],2,FALSE),".00",Table1[[#This Row],[Figure  ]])</f>
        <v>DEM.HSE.TCH.001</v>
      </c>
      <c r="B19" s="4" t="s">
        <v>526</v>
      </c>
      <c r="C19" s="6" t="s">
        <v>100</v>
      </c>
      <c r="D19" s="7" t="s">
        <v>443</v>
      </c>
      <c r="E19" s="6" t="s">
        <v>389</v>
      </c>
      <c r="F19" s="15" t="s">
        <v>390</v>
      </c>
      <c r="G19" s="6">
        <v>1</v>
      </c>
      <c r="H19" s="3" t="s">
        <v>391</v>
      </c>
      <c r="I19" s="3" t="s">
        <v>392</v>
      </c>
      <c r="J19" s="3" t="s">
        <v>21</v>
      </c>
      <c r="K19" s="3" t="s">
        <v>22</v>
      </c>
      <c r="L19" s="3" t="s">
        <v>393</v>
      </c>
      <c r="M19" s="3" t="s">
        <v>24</v>
      </c>
      <c r="N19" s="3" t="s">
        <v>394</v>
      </c>
      <c r="O19" s="3" t="s">
        <v>24</v>
      </c>
      <c r="P19" s="2"/>
      <c r="Q19" s="2"/>
    </row>
    <row r="20" spans="1:17" customFormat="1" hidden="1" x14ac:dyDescent="0.25">
      <c r="A20" s="8" t="str">
        <f>_xlfn.CONCAT(VLOOKUP(_xlfn.CONCAT(Table1[[#This Row],[Dimension]],Table1[[#This Row],[Measure]],Table1[[#This Row],[Indicator]]),IndicatorType[],2,FALSE),".00",Table1[[#This Row],[Figure  ]])</f>
        <v>DEM.HSE.TCH.001</v>
      </c>
      <c r="B20" s="4" t="s">
        <v>526</v>
      </c>
      <c r="C20" s="6" t="s">
        <v>100</v>
      </c>
      <c r="D20" s="7" t="s">
        <v>443</v>
      </c>
      <c r="E20" s="6" t="s">
        <v>399</v>
      </c>
      <c r="F20" s="15" t="s">
        <v>400</v>
      </c>
      <c r="G20" s="6">
        <v>1</v>
      </c>
      <c r="H20" s="3" t="s">
        <v>401</v>
      </c>
      <c r="I20" s="3" t="s">
        <v>402</v>
      </c>
      <c r="J20" s="3" t="s">
        <v>21</v>
      </c>
      <c r="K20" s="3" t="s">
        <v>22</v>
      </c>
      <c r="L20" s="3" t="s">
        <v>403</v>
      </c>
      <c r="M20" s="3" t="s">
        <v>24</v>
      </c>
      <c r="N20" s="3" t="s">
        <v>404</v>
      </c>
      <c r="O20" s="3" t="s">
        <v>24</v>
      </c>
      <c r="P20" s="2"/>
      <c r="Q20" s="2"/>
    </row>
    <row r="21" spans="1:17" customFormat="1" hidden="1" x14ac:dyDescent="0.25">
      <c r="A21" s="8" t="str">
        <f>_xlfn.CONCAT(VLOOKUP(_xlfn.CONCAT(Table1[[#This Row],[Dimension]],Table1[[#This Row],[Measure]],Table1[[#This Row],[Indicator]]),IndicatorType[],2,FALSE),".00",Table1[[#This Row],[Figure  ]])</f>
        <v>DEM.HSE.TCH.002</v>
      </c>
      <c r="B21" s="4" t="s">
        <v>526</v>
      </c>
      <c r="C21" s="6" t="s">
        <v>100</v>
      </c>
      <c r="D21" s="7" t="s">
        <v>443</v>
      </c>
      <c r="E21" s="6" t="s">
        <v>389</v>
      </c>
      <c r="F21" s="15" t="s">
        <v>390</v>
      </c>
      <c r="G21" s="6">
        <v>2</v>
      </c>
      <c r="H21" s="3" t="s">
        <v>395</v>
      </c>
      <c r="I21" s="3" t="s">
        <v>396</v>
      </c>
      <c r="J21" s="3" t="s">
        <v>29</v>
      </c>
      <c r="K21" s="3" t="s">
        <v>30</v>
      </c>
      <c r="L21" s="3" t="s">
        <v>397</v>
      </c>
      <c r="M21" s="3" t="s">
        <v>24</v>
      </c>
      <c r="N21" s="3" t="s">
        <v>394</v>
      </c>
      <c r="O21" s="3" t="s">
        <v>24</v>
      </c>
      <c r="P21" s="2"/>
      <c r="Q21" s="2"/>
    </row>
    <row r="22" spans="1:17" customFormat="1" hidden="1" x14ac:dyDescent="0.25">
      <c r="A22" s="8" t="str">
        <f>_xlfn.CONCAT(VLOOKUP(_xlfn.CONCAT(Table1[[#This Row],[Dimension]],Table1[[#This Row],[Measure]],Table1[[#This Row],[Indicator]]),IndicatorType[],2,FALSE),".00",Table1[[#This Row],[Figure  ]])</f>
        <v>DEM.HSE.TCH.002</v>
      </c>
      <c r="B22" s="4" t="s">
        <v>526</v>
      </c>
      <c r="C22" s="6" t="s">
        <v>100</v>
      </c>
      <c r="D22" s="7" t="s">
        <v>443</v>
      </c>
      <c r="E22" s="6" t="s">
        <v>399</v>
      </c>
      <c r="F22" s="15" t="s">
        <v>400</v>
      </c>
      <c r="G22" s="6">
        <v>2</v>
      </c>
      <c r="H22" s="3" t="s">
        <v>405</v>
      </c>
      <c r="I22" s="3" t="s">
        <v>406</v>
      </c>
      <c r="J22" s="3" t="s">
        <v>29</v>
      </c>
      <c r="K22" s="3" t="s">
        <v>30</v>
      </c>
      <c r="L22" s="3" t="s">
        <v>403</v>
      </c>
      <c r="M22" s="3" t="s">
        <v>24</v>
      </c>
      <c r="N22" s="3" t="s">
        <v>404</v>
      </c>
      <c r="O22" s="3" t="s">
        <v>24</v>
      </c>
      <c r="P22" s="2"/>
      <c r="Q22" s="2"/>
    </row>
    <row r="23" spans="1:17" customFormat="1" x14ac:dyDescent="0.25">
      <c r="A23" s="8" t="str">
        <f>_xlfn.CONCAT(VLOOKUP(_xlfn.CONCAT(Table1[[#This Row],[Dimension]],Table1[[#This Row],[Measure]],Table1[[#This Row],[Indicator]]),IndicatorType[],2,FALSE),".00",Table1[[#This Row],[Figure  ]])</f>
        <v>DEM.HSE.TCH.003</v>
      </c>
      <c r="B23" s="4" t="s">
        <v>526</v>
      </c>
      <c r="C23" s="6" t="s">
        <v>100</v>
      </c>
      <c r="D23" s="7" t="s">
        <v>443</v>
      </c>
      <c r="E23" s="6" t="s">
        <v>389</v>
      </c>
      <c r="F23" s="15" t="s">
        <v>390</v>
      </c>
      <c r="G23" s="6">
        <v>3</v>
      </c>
      <c r="H23" s="3" t="s">
        <v>398</v>
      </c>
      <c r="I23" s="3" t="s">
        <v>392</v>
      </c>
      <c r="J23" s="3" t="s">
        <v>33</v>
      </c>
      <c r="K23" s="3" t="s">
        <v>226</v>
      </c>
      <c r="L23" s="3" t="s">
        <v>397</v>
      </c>
      <c r="M23" s="3" t="s">
        <v>24</v>
      </c>
      <c r="N23" s="3" t="s">
        <v>394</v>
      </c>
      <c r="O23" s="3" t="s">
        <v>24</v>
      </c>
      <c r="P23" s="2"/>
      <c r="Q23" s="2"/>
    </row>
    <row r="24" spans="1:17" customFormat="1" x14ac:dyDescent="0.25">
      <c r="A24" s="8" t="str">
        <f>_xlfn.CONCAT(VLOOKUP(_xlfn.CONCAT(Table1[[#This Row],[Dimension]],Table1[[#This Row],[Measure]],Table1[[#This Row],[Indicator]]),IndicatorType[],2,FALSE),".00",Table1[[#This Row],[Figure  ]])</f>
        <v>DEM.HSE.TCH.003</v>
      </c>
      <c r="B24" s="4" t="s">
        <v>526</v>
      </c>
      <c r="C24" s="6" t="s">
        <v>100</v>
      </c>
      <c r="D24" s="7" t="s">
        <v>443</v>
      </c>
      <c r="E24" s="6" t="s">
        <v>399</v>
      </c>
      <c r="F24" s="15" t="s">
        <v>400</v>
      </c>
      <c r="G24" s="6">
        <v>3</v>
      </c>
      <c r="H24" s="3" t="s">
        <v>407</v>
      </c>
      <c r="I24" s="3" t="s">
        <v>402</v>
      </c>
      <c r="J24" s="3" t="s">
        <v>33</v>
      </c>
      <c r="K24" s="3" t="s">
        <v>226</v>
      </c>
      <c r="L24" s="3" t="s">
        <v>403</v>
      </c>
      <c r="M24" s="3" t="s">
        <v>24</v>
      </c>
      <c r="N24" s="3" t="s">
        <v>404</v>
      </c>
      <c r="O24" s="3" t="s">
        <v>24</v>
      </c>
      <c r="P24" s="2"/>
      <c r="Q24" s="2"/>
    </row>
    <row r="25" spans="1:17" customFormat="1" hidden="1" x14ac:dyDescent="0.25">
      <c r="A25" s="8" t="str">
        <f>_xlfn.CONCAT(VLOOKUP(_xlfn.CONCAT(Table1[[#This Row],[Dimension]],Table1[[#This Row],[Measure]],Table1[[#This Row],[Indicator]]),IndicatorType[],2,FALSE),".00",Table1[[#This Row],[Figure  ]])</f>
        <v>DEM.HSE.TRN.001</v>
      </c>
      <c r="B25" s="4" t="s">
        <v>526</v>
      </c>
      <c r="C25" s="6" t="s">
        <v>100</v>
      </c>
      <c r="D25" s="6" t="s">
        <v>492</v>
      </c>
      <c r="E25" s="6" t="s">
        <v>375</v>
      </c>
      <c r="F25" s="15" t="s">
        <v>230</v>
      </c>
      <c r="G25" s="6">
        <v>1</v>
      </c>
      <c r="H25" s="3" t="s">
        <v>376</v>
      </c>
      <c r="I25" s="3" t="s">
        <v>440</v>
      </c>
      <c r="J25" s="3" t="s">
        <v>21</v>
      </c>
      <c r="K25" s="3" t="s">
        <v>22</v>
      </c>
      <c r="L25" s="3" t="s">
        <v>377</v>
      </c>
      <c r="M25" s="3" t="s">
        <v>24</v>
      </c>
      <c r="N25" s="3" t="s">
        <v>378</v>
      </c>
      <c r="O25" s="3" t="s">
        <v>24</v>
      </c>
      <c r="P25" s="2"/>
      <c r="Q25" s="2"/>
    </row>
    <row r="26" spans="1:17" customFormat="1" hidden="1" x14ac:dyDescent="0.25">
      <c r="A26" s="8" t="str">
        <f>_xlfn.CONCAT(VLOOKUP(_xlfn.CONCAT(Table1[[#This Row],[Dimension]],Table1[[#This Row],[Measure]],Table1[[#This Row],[Indicator]]),IndicatorType[],2,FALSE),".00",Table1[[#This Row],[Figure  ]])</f>
        <v>DEM.HSE.TRN.002</v>
      </c>
      <c r="B26" s="4" t="s">
        <v>526</v>
      </c>
      <c r="C26" s="6" t="s">
        <v>100</v>
      </c>
      <c r="D26" s="6" t="s">
        <v>492</v>
      </c>
      <c r="E26" s="6" t="s">
        <v>375</v>
      </c>
      <c r="F26" s="15" t="s">
        <v>230</v>
      </c>
      <c r="G26" s="6">
        <v>2</v>
      </c>
      <c r="H26" s="3" t="s">
        <v>379</v>
      </c>
      <c r="I26" s="3" t="s">
        <v>441</v>
      </c>
      <c r="J26" s="3" t="s">
        <v>29</v>
      </c>
      <c r="K26" s="3" t="s">
        <v>30</v>
      </c>
      <c r="L26" s="3" t="s">
        <v>377</v>
      </c>
      <c r="M26" s="3" t="s">
        <v>24</v>
      </c>
      <c r="N26" s="3" t="s">
        <v>378</v>
      </c>
      <c r="O26" s="3" t="s">
        <v>24</v>
      </c>
      <c r="P26" s="2"/>
      <c r="Q26" s="2"/>
    </row>
    <row r="27" spans="1:17" customFormat="1" x14ac:dyDescent="0.25">
      <c r="A27" s="8" t="str">
        <f>_xlfn.CONCAT(VLOOKUP(_xlfn.CONCAT(Table1[[#This Row],[Dimension]],Table1[[#This Row],[Measure]],Table1[[#This Row],[Indicator]]),IndicatorType[],2,FALSE),".00",Table1[[#This Row],[Figure  ]])</f>
        <v>DEM.HSE.TRN.003</v>
      </c>
      <c r="B27" s="4" t="s">
        <v>526</v>
      </c>
      <c r="C27" s="6" t="s">
        <v>100</v>
      </c>
      <c r="D27" s="6" t="s">
        <v>492</v>
      </c>
      <c r="E27" s="6" t="s">
        <v>375</v>
      </c>
      <c r="F27" s="15" t="s">
        <v>230</v>
      </c>
      <c r="G27" s="6">
        <v>3</v>
      </c>
      <c r="H27" s="3" t="s">
        <v>380</v>
      </c>
      <c r="I27" s="3" t="s">
        <v>442</v>
      </c>
      <c r="J27" s="3" t="s">
        <v>33</v>
      </c>
      <c r="K27" s="3" t="s">
        <v>226</v>
      </c>
      <c r="L27" s="3" t="s">
        <v>381</v>
      </c>
      <c r="M27" s="3" t="s">
        <v>24</v>
      </c>
      <c r="N27" s="3" t="s">
        <v>382</v>
      </c>
      <c r="O27" s="3" t="s">
        <v>24</v>
      </c>
      <c r="P27" s="2"/>
      <c r="Q27" s="2"/>
    </row>
    <row r="28" spans="1:17" customFormat="1" hidden="1" x14ac:dyDescent="0.25">
      <c r="A28" s="8" t="str">
        <f>_xlfn.CONCAT(VLOOKUP(_xlfn.CONCAT(Table1[[#This Row],[Dimension]],Table1[[#This Row],[Measure]],Table1[[#This Row],[Indicator]]),IndicatorType[],2,FALSE),".00",Table1[[#This Row],[Figure  ]])</f>
        <v>DEM.HSE.SCH.001</v>
      </c>
      <c r="B28" s="4" t="s">
        <v>526</v>
      </c>
      <c r="C28" s="6" t="s">
        <v>100</v>
      </c>
      <c r="D28" s="6" t="s">
        <v>383</v>
      </c>
      <c r="E28" s="15" t="s">
        <v>230</v>
      </c>
      <c r="F28" s="15" t="s">
        <v>230</v>
      </c>
      <c r="G28" s="6">
        <v>1</v>
      </c>
      <c r="H28" s="3" t="s">
        <v>384</v>
      </c>
      <c r="I28" s="3" t="s">
        <v>385</v>
      </c>
      <c r="J28" s="3" t="s">
        <v>21</v>
      </c>
      <c r="K28" s="3" t="s">
        <v>22</v>
      </c>
      <c r="L28" s="3" t="s">
        <v>386</v>
      </c>
      <c r="M28" s="3" t="s">
        <v>24</v>
      </c>
      <c r="N28" s="3" t="s">
        <v>378</v>
      </c>
      <c r="O28" s="3" t="s">
        <v>24</v>
      </c>
      <c r="P28" s="2"/>
      <c r="Q28" s="2"/>
    </row>
    <row r="29" spans="1:17" customFormat="1" hidden="1" x14ac:dyDescent="0.25">
      <c r="A29" s="8" t="str">
        <f>_xlfn.CONCAT(VLOOKUP(_xlfn.CONCAT(Table1[[#This Row],[Dimension]],Table1[[#This Row],[Measure]],Table1[[#This Row],[Indicator]]),IndicatorType[],2,FALSE),".00",Table1[[#This Row],[Figure  ]])</f>
        <v>DEM.HSE.SCH.002</v>
      </c>
      <c r="B29" s="4" t="s">
        <v>526</v>
      </c>
      <c r="C29" s="6" t="s">
        <v>100</v>
      </c>
      <c r="D29" s="6" t="s">
        <v>383</v>
      </c>
      <c r="E29" s="15" t="s">
        <v>230</v>
      </c>
      <c r="F29" s="15" t="s">
        <v>230</v>
      </c>
      <c r="G29" s="6">
        <v>2</v>
      </c>
      <c r="H29" s="3" t="s">
        <v>387</v>
      </c>
      <c r="I29" s="3" t="s">
        <v>388</v>
      </c>
      <c r="J29" s="3" t="s">
        <v>29</v>
      </c>
      <c r="K29" s="3" t="s">
        <v>30</v>
      </c>
      <c r="L29" s="3" t="s">
        <v>386</v>
      </c>
      <c r="M29" s="3" t="s">
        <v>24</v>
      </c>
      <c r="N29" s="3" t="s">
        <v>378</v>
      </c>
      <c r="O29" s="3" t="s">
        <v>24</v>
      </c>
      <c r="P29" s="2"/>
      <c r="Q29" s="2"/>
    </row>
    <row r="30" spans="1:17" customFormat="1" x14ac:dyDescent="0.25">
      <c r="A30" s="8" t="str">
        <f>_xlfn.CONCAT(VLOOKUP(_xlfn.CONCAT(Table1[[#This Row],[Dimension]],Table1[[#This Row],[Measure]],Table1[[#This Row],[Indicator]]),IndicatorType[],2,FALSE),".00",Table1[[#This Row],[Figure  ]])</f>
        <v>DEM.HSE.SCH.003</v>
      </c>
      <c r="B30" s="4" t="s">
        <v>526</v>
      </c>
      <c r="C30" s="6" t="s">
        <v>100</v>
      </c>
      <c r="D30" s="6" t="s">
        <v>383</v>
      </c>
      <c r="E30" s="15" t="s">
        <v>230</v>
      </c>
      <c r="F30" s="15" t="s">
        <v>230</v>
      </c>
      <c r="G30" s="6">
        <v>3</v>
      </c>
      <c r="H30" s="3" t="s">
        <v>384</v>
      </c>
      <c r="I30" s="3" t="s">
        <v>385</v>
      </c>
      <c r="J30" s="3" t="s">
        <v>33</v>
      </c>
      <c r="K30" s="3" t="s">
        <v>226</v>
      </c>
      <c r="L30" s="3" t="s">
        <v>386</v>
      </c>
      <c r="M30" s="3" t="s">
        <v>24</v>
      </c>
      <c r="N30" s="3" t="s">
        <v>378</v>
      </c>
      <c r="O30" s="3" t="s">
        <v>24</v>
      </c>
      <c r="P30" s="2"/>
      <c r="Q30" s="2"/>
    </row>
    <row r="31" spans="1:17" customFormat="1" hidden="1" x14ac:dyDescent="0.25">
      <c r="A31" s="8" t="str">
        <f>_xlfn.CONCAT(VLOOKUP(_xlfn.CONCAT(Table1[[#This Row],[Dimension]],Table1[[#This Row],[Measure]],Table1[[#This Row],[Indicator]]),IndicatorType[],2,FALSE),".00",Table1[[#This Row],[Figure  ]])</f>
        <v>DEM.HSE.WRK.001</v>
      </c>
      <c r="B31" s="4" t="s">
        <v>526</v>
      </c>
      <c r="C31" s="6" t="s">
        <v>100</v>
      </c>
      <c r="D31" s="6" t="s">
        <v>434</v>
      </c>
      <c r="E31" s="6"/>
      <c r="F31" s="6"/>
      <c r="G31" s="6">
        <v>1</v>
      </c>
      <c r="H31" s="3" t="s">
        <v>117</v>
      </c>
      <c r="I31" s="3" t="s">
        <v>435</v>
      </c>
      <c r="J31" s="3" t="s">
        <v>21</v>
      </c>
      <c r="K31" s="3" t="s">
        <v>22</v>
      </c>
      <c r="L31" s="3" t="s">
        <v>118</v>
      </c>
      <c r="M31" s="3" t="s">
        <v>24</v>
      </c>
      <c r="N31" s="3" t="s">
        <v>104</v>
      </c>
      <c r="O31" s="3" t="s">
        <v>24</v>
      </c>
      <c r="P31" s="2"/>
      <c r="Q31" s="2"/>
    </row>
    <row r="32" spans="1:17" customFormat="1" hidden="1" x14ac:dyDescent="0.25">
      <c r="A32" s="8" t="str">
        <f>_xlfn.CONCAT(VLOOKUP(_xlfn.CONCAT(Table1[[#This Row],[Dimension]],Table1[[#This Row],[Measure]],Table1[[#This Row],[Indicator]]),IndicatorType[],2,FALSE),".00",Table1[[#This Row],[Figure  ]])</f>
        <v>DEM.HSE.WRK.002</v>
      </c>
      <c r="B32" s="4" t="s">
        <v>526</v>
      </c>
      <c r="C32" s="6" t="s">
        <v>100</v>
      </c>
      <c r="D32" s="6" t="s">
        <v>434</v>
      </c>
      <c r="E32" s="6"/>
      <c r="F32" s="6"/>
      <c r="G32" s="6">
        <v>2</v>
      </c>
      <c r="H32" s="3" t="s">
        <v>119</v>
      </c>
      <c r="I32" s="3" t="s">
        <v>436</v>
      </c>
      <c r="J32" s="3" t="s">
        <v>29</v>
      </c>
      <c r="K32" s="3" t="s">
        <v>30</v>
      </c>
      <c r="L32" s="3" t="s">
        <v>118</v>
      </c>
      <c r="M32" s="3" t="s">
        <v>24</v>
      </c>
      <c r="N32" s="3" t="s">
        <v>104</v>
      </c>
      <c r="O32" s="3" t="s">
        <v>24</v>
      </c>
      <c r="P32" s="2"/>
      <c r="Q32" s="2"/>
    </row>
    <row r="33" spans="1:17" customFormat="1" x14ac:dyDescent="0.25">
      <c r="A33" s="8" t="str">
        <f>_xlfn.CONCAT(VLOOKUP(_xlfn.CONCAT(Table1[[#This Row],[Dimension]],Table1[[#This Row],[Measure]],Table1[[#This Row],[Indicator]]),IndicatorType[],2,FALSE),".00",Table1[[#This Row],[Figure  ]])</f>
        <v>DEM.HSE.WRK.003</v>
      </c>
      <c r="B33" s="4" t="s">
        <v>526</v>
      </c>
      <c r="C33" s="6" t="s">
        <v>100</v>
      </c>
      <c r="D33" s="6" t="s">
        <v>434</v>
      </c>
      <c r="E33" s="6"/>
      <c r="F33" s="6"/>
      <c r="G33" s="6">
        <v>3</v>
      </c>
      <c r="H33" s="3" t="s">
        <v>120</v>
      </c>
      <c r="I33" s="3" t="s">
        <v>435</v>
      </c>
      <c r="J33" s="3" t="s">
        <v>33</v>
      </c>
      <c r="K33" s="3" t="s">
        <v>22</v>
      </c>
      <c r="L33" s="3" t="s">
        <v>118</v>
      </c>
      <c r="M33" s="3" t="s">
        <v>24</v>
      </c>
      <c r="N33" s="3" t="s">
        <v>104</v>
      </c>
      <c r="O33" s="3" t="s">
        <v>24</v>
      </c>
      <c r="P33" s="2"/>
      <c r="Q33" s="2"/>
    </row>
    <row r="34" spans="1:17" customFormat="1" hidden="1" x14ac:dyDescent="0.25">
      <c r="A34" s="8" t="str">
        <f>_xlfn.CONCAT(VLOOKUP(_xlfn.CONCAT(Table1[[#This Row],[Dimension]],Table1[[#This Row],[Measure]],Table1[[#This Row],[Indicator]]),IndicatorType[],2,FALSE),".00",Table1[[#This Row],[Figure  ]])</f>
        <v>ECO.APP.FPL.001</v>
      </c>
      <c r="B34" s="4" t="s">
        <v>16</v>
      </c>
      <c r="C34" s="6" t="s">
        <v>56</v>
      </c>
      <c r="D34" s="6" t="s">
        <v>18</v>
      </c>
      <c r="E34" s="6"/>
      <c r="F34" s="6"/>
      <c r="G34" s="6">
        <v>1</v>
      </c>
      <c r="H34" s="3" t="s">
        <v>56</v>
      </c>
      <c r="I34" s="3" t="s">
        <v>57</v>
      </c>
      <c r="J34" s="3" t="s">
        <v>21</v>
      </c>
      <c r="K34" s="3" t="s">
        <v>22</v>
      </c>
      <c r="L34" s="3" t="s">
        <v>58</v>
      </c>
      <c r="M34" s="3" t="s">
        <v>24</v>
      </c>
      <c r="N34" s="3" t="s">
        <v>59</v>
      </c>
      <c r="O34" s="3" t="s">
        <v>24</v>
      </c>
      <c r="P34" s="2"/>
      <c r="Q34" s="2"/>
    </row>
    <row r="35" spans="1:17" customFormat="1" hidden="1" x14ac:dyDescent="0.25">
      <c r="A35" s="8" t="str">
        <f>_xlfn.CONCAT(VLOOKUP(_xlfn.CONCAT(Table1[[#This Row],[Dimension]],Table1[[#This Row],[Measure]],Table1[[#This Row],[Indicator]]),IndicatorType[],2,FALSE),".00",Table1[[#This Row],[Figure  ]])</f>
        <v>ECO.APP.FPL.002</v>
      </c>
      <c r="B35" s="4" t="s">
        <v>16</v>
      </c>
      <c r="C35" s="6" t="s">
        <v>56</v>
      </c>
      <c r="D35" s="6" t="s">
        <v>18</v>
      </c>
      <c r="E35" s="6"/>
      <c r="F35" s="6"/>
      <c r="G35" s="6">
        <v>2</v>
      </c>
      <c r="H35" s="3" t="s">
        <v>60</v>
      </c>
      <c r="I35" s="3" t="s">
        <v>61</v>
      </c>
      <c r="J35" s="3" t="s">
        <v>29</v>
      </c>
      <c r="K35" s="3" t="s">
        <v>30</v>
      </c>
      <c r="L35" s="3" t="s">
        <v>58</v>
      </c>
      <c r="M35" s="3" t="s">
        <v>24</v>
      </c>
      <c r="N35" s="3" t="s">
        <v>59</v>
      </c>
      <c r="O35" s="3" t="s">
        <v>24</v>
      </c>
      <c r="P35" s="2"/>
      <c r="Q35" s="2"/>
    </row>
    <row r="36" spans="1:17" customFormat="1" x14ac:dyDescent="0.25">
      <c r="A36" s="8" t="str">
        <f>_xlfn.CONCAT(VLOOKUP(_xlfn.CONCAT(Table1[[#This Row],[Dimension]],Table1[[#This Row],[Measure]],Table1[[#This Row],[Indicator]]),IndicatorType[],2,FALSE),".00",Table1[[#This Row],[Figure  ]])</f>
        <v>ECO.APP.FPL.003</v>
      </c>
      <c r="B36" s="4" t="s">
        <v>16</v>
      </c>
      <c r="C36" s="6" t="s">
        <v>56</v>
      </c>
      <c r="D36" s="6" t="s">
        <v>18</v>
      </c>
      <c r="E36" s="6"/>
      <c r="F36" s="6"/>
      <c r="G36" s="6">
        <v>3</v>
      </c>
      <c r="H36" s="3" t="s">
        <v>62</v>
      </c>
      <c r="I36" s="3" t="s">
        <v>63</v>
      </c>
      <c r="J36" s="3" t="s">
        <v>33</v>
      </c>
      <c r="K36" s="3" t="s">
        <v>22</v>
      </c>
      <c r="L36" s="3" t="s">
        <v>64</v>
      </c>
      <c r="M36" s="3" t="s">
        <v>24</v>
      </c>
      <c r="N36" s="3" t="s">
        <v>65</v>
      </c>
      <c r="O36" s="3" t="s">
        <v>24</v>
      </c>
      <c r="P36" s="2"/>
      <c r="Q36" s="2"/>
    </row>
    <row r="37" spans="1:17" customFormat="1" hidden="1" x14ac:dyDescent="0.25">
      <c r="A37" s="8" t="str">
        <f>_xlfn.CONCAT(VLOOKUP(_xlfn.CONCAT(Table1[[#This Row],[Dimension]],Table1[[#This Row],[Measure]],Table1[[#This Row],[Indicator]]),IndicatorType[],2,FALSE),".00",Table1[[#This Row],[Figure  ]])</f>
        <v>ECO.CIP.FPL.001</v>
      </c>
      <c r="B37" s="4" t="s">
        <v>16</v>
      </c>
      <c r="C37" s="6" t="s">
        <v>17</v>
      </c>
      <c r="D37" s="6" t="s">
        <v>18</v>
      </c>
      <c r="E37" s="6"/>
      <c r="F37" s="6"/>
      <c r="G37" s="6">
        <v>1</v>
      </c>
      <c r="H37" s="3" t="s">
        <v>19</v>
      </c>
      <c r="I37" s="3" t="s">
        <v>20</v>
      </c>
      <c r="J37" s="3" t="s">
        <v>21</v>
      </c>
      <c r="K37" s="3" t="s">
        <v>22</v>
      </c>
      <c r="L37" s="3" t="s">
        <v>23</v>
      </c>
      <c r="M37" s="3" t="s">
        <v>24</v>
      </c>
      <c r="N37" s="3" t="s">
        <v>25</v>
      </c>
      <c r="O37" s="3" t="s">
        <v>26</v>
      </c>
      <c r="P37" s="2"/>
      <c r="Q37" s="2"/>
    </row>
    <row r="38" spans="1:17" customFormat="1" hidden="1" x14ac:dyDescent="0.25">
      <c r="A38" s="8" t="str">
        <f>_xlfn.CONCAT(VLOOKUP(_xlfn.CONCAT(Table1[[#This Row],[Dimension]],Table1[[#This Row],[Measure]],Table1[[#This Row],[Indicator]]),IndicatorType[],2,FALSE),".00",Table1[[#This Row],[Figure  ]])</f>
        <v>ECO.CIP.FPL.002</v>
      </c>
      <c r="B38" s="4" t="s">
        <v>16</v>
      </c>
      <c r="C38" s="6" t="s">
        <v>17</v>
      </c>
      <c r="D38" s="6" t="s">
        <v>18</v>
      </c>
      <c r="E38" s="6"/>
      <c r="F38" s="6"/>
      <c r="G38" s="6">
        <v>2</v>
      </c>
      <c r="H38" s="3" t="s">
        <v>27</v>
      </c>
      <c r="I38" s="3" t="s">
        <v>28</v>
      </c>
      <c r="J38" s="3" t="s">
        <v>29</v>
      </c>
      <c r="K38" s="3" t="s">
        <v>30</v>
      </c>
      <c r="L38" s="3" t="s">
        <v>23</v>
      </c>
      <c r="M38" s="3" t="s">
        <v>24</v>
      </c>
      <c r="N38" s="3" t="s">
        <v>25</v>
      </c>
      <c r="O38" s="3" t="s">
        <v>26</v>
      </c>
      <c r="P38" s="2"/>
      <c r="Q38" s="2"/>
    </row>
    <row r="39" spans="1:17" customFormat="1" x14ac:dyDescent="0.25">
      <c r="A39" s="8" t="str">
        <f>_xlfn.CONCAT(VLOOKUP(_xlfn.CONCAT(Table1[[#This Row],[Dimension]],Table1[[#This Row],[Measure]],Table1[[#This Row],[Indicator]]),IndicatorType[],2,FALSE),".00",Table1[[#This Row],[Figure  ]])</f>
        <v>ECO.CIP.FPL.003</v>
      </c>
      <c r="B39" s="4" t="s">
        <v>16</v>
      </c>
      <c r="C39" s="6" t="s">
        <v>17</v>
      </c>
      <c r="D39" s="6" t="s">
        <v>18</v>
      </c>
      <c r="E39" s="6"/>
      <c r="F39" s="6"/>
      <c r="G39" s="6">
        <v>3</v>
      </c>
      <c r="H39" s="3" t="s">
        <v>31</v>
      </c>
      <c r="I39" s="3" t="s">
        <v>32</v>
      </c>
      <c r="J39" s="3" t="s">
        <v>33</v>
      </c>
      <c r="K39" s="3" t="s">
        <v>22</v>
      </c>
      <c r="L39" s="3" t="s">
        <v>34</v>
      </c>
      <c r="M39" s="3" t="s">
        <v>24</v>
      </c>
      <c r="N39" s="3" t="s">
        <v>35</v>
      </c>
      <c r="O39" s="3" t="s">
        <v>26</v>
      </c>
      <c r="P39" s="2"/>
      <c r="Q39" s="2"/>
    </row>
    <row r="40" spans="1:17" customFormat="1" hidden="1" x14ac:dyDescent="0.25">
      <c r="A40" s="8" t="str">
        <f>_xlfn.CONCAT(VLOOKUP(_xlfn.CONCAT(Table1[[#This Row],[Dimension]],Table1[[#This Row],[Measure]],Table1[[#This Row],[Indicator]]),IndicatorType[],2,FALSE),".00",Table1[[#This Row],[Figure  ]])</f>
        <v>ECO.CIP.FRL.001</v>
      </c>
      <c r="B40" s="4" t="s">
        <v>16</v>
      </c>
      <c r="C40" s="6" t="s">
        <v>17</v>
      </c>
      <c r="D40" s="6" t="s">
        <v>36</v>
      </c>
      <c r="E40" s="6"/>
      <c r="F40" s="6"/>
      <c r="G40" s="6">
        <v>1</v>
      </c>
      <c r="H40" s="3" t="s">
        <v>408</v>
      </c>
      <c r="I40" s="3" t="s">
        <v>37</v>
      </c>
      <c r="J40" s="3" t="s">
        <v>21</v>
      </c>
      <c r="K40" s="3" t="s">
        <v>22</v>
      </c>
      <c r="L40" s="3" t="s">
        <v>38</v>
      </c>
      <c r="M40" s="3" t="s">
        <v>39</v>
      </c>
      <c r="N40" s="3" t="s">
        <v>40</v>
      </c>
      <c r="O40" s="3" t="s">
        <v>39</v>
      </c>
      <c r="P40" s="2"/>
      <c r="Q40" s="2"/>
    </row>
    <row r="41" spans="1:17" customFormat="1" hidden="1" x14ac:dyDescent="0.25">
      <c r="A41" s="8" t="str">
        <f>_xlfn.CONCAT(VLOOKUP(_xlfn.CONCAT(Table1[[#This Row],[Dimension]],Table1[[#This Row],[Measure]],Table1[[#This Row],[Indicator]]),IndicatorType[],2,FALSE),".00",Table1[[#This Row],[Figure  ]])</f>
        <v>ECO.CIP.FRL.002</v>
      </c>
      <c r="B41" s="4" t="s">
        <v>16</v>
      </c>
      <c r="C41" s="6" t="s">
        <v>17</v>
      </c>
      <c r="D41" s="6" t="s">
        <v>36</v>
      </c>
      <c r="E41" s="6"/>
      <c r="F41" s="6"/>
      <c r="G41" s="6">
        <v>2</v>
      </c>
      <c r="H41" s="3" t="s">
        <v>409</v>
      </c>
      <c r="I41" s="3" t="s">
        <v>41</v>
      </c>
      <c r="J41" s="3" t="s">
        <v>29</v>
      </c>
      <c r="K41" s="3" t="s">
        <v>30</v>
      </c>
      <c r="L41" s="3" t="s">
        <v>38</v>
      </c>
      <c r="M41" s="3" t="s">
        <v>39</v>
      </c>
      <c r="N41" s="3" t="s">
        <v>40</v>
      </c>
      <c r="O41" s="3" t="s">
        <v>39</v>
      </c>
      <c r="P41" s="2"/>
      <c r="Q41" s="2"/>
    </row>
    <row r="42" spans="1:17" customFormat="1" x14ac:dyDescent="0.25">
      <c r="A42" s="8" t="str">
        <f>_xlfn.CONCAT(VLOOKUP(_xlfn.CONCAT(Table1[[#This Row],[Dimension]],Table1[[#This Row],[Measure]],Table1[[#This Row],[Indicator]]),IndicatorType[],2,FALSE),".00",Table1[[#This Row],[Figure  ]])</f>
        <v>ECO.CIP.FRL.003</v>
      </c>
      <c r="B42" s="4" t="s">
        <v>16</v>
      </c>
      <c r="C42" s="6" t="s">
        <v>17</v>
      </c>
      <c r="D42" s="6" t="s">
        <v>36</v>
      </c>
      <c r="E42" s="6"/>
      <c r="F42" s="6"/>
      <c r="G42" s="6">
        <v>3</v>
      </c>
      <c r="H42" s="3" t="s">
        <v>410</v>
      </c>
      <c r="I42" s="3" t="s">
        <v>411</v>
      </c>
      <c r="J42" s="3" t="s">
        <v>33</v>
      </c>
      <c r="K42" s="3" t="s">
        <v>22</v>
      </c>
      <c r="L42" s="3" t="s">
        <v>42</v>
      </c>
      <c r="M42" s="3" t="s">
        <v>39</v>
      </c>
      <c r="N42" s="3" t="s">
        <v>43</v>
      </c>
      <c r="O42" s="3" t="s">
        <v>39</v>
      </c>
      <c r="P42" s="2"/>
      <c r="Q42" s="2"/>
    </row>
    <row r="43" spans="1:17" customFormat="1" hidden="1" x14ac:dyDescent="0.25">
      <c r="A43" s="8" t="str">
        <f>_xlfn.CONCAT(VLOOKUP(_xlfn.CONCAT(Table1[[#This Row],[Dimension]],Table1[[#This Row],[Measure]],Table1[[#This Row],[Indicator]]),IndicatorType[],2,FALSE),".00",Table1[[#This Row],[Figure  ]])</f>
        <v>ECO.CIP.MOW.001</v>
      </c>
      <c r="B43" s="4" t="s">
        <v>16</v>
      </c>
      <c r="C43" s="6" t="s">
        <v>17</v>
      </c>
      <c r="D43" s="6" t="s">
        <v>44</v>
      </c>
      <c r="E43" s="6"/>
      <c r="F43" s="6"/>
      <c r="G43" s="6">
        <v>1</v>
      </c>
      <c r="H43" s="3" t="s">
        <v>45</v>
      </c>
      <c r="I43" s="3" t="s">
        <v>46</v>
      </c>
      <c r="J43" s="3" t="s">
        <v>21</v>
      </c>
      <c r="K43" s="3" t="s">
        <v>22</v>
      </c>
      <c r="L43" s="3" t="s">
        <v>47</v>
      </c>
      <c r="M43" s="3" t="s">
        <v>48</v>
      </c>
      <c r="N43" s="3" t="s">
        <v>49</v>
      </c>
      <c r="O43" s="3" t="s">
        <v>48</v>
      </c>
      <c r="P43" s="2"/>
      <c r="Q43" s="2"/>
    </row>
    <row r="44" spans="1:17" customFormat="1" hidden="1" x14ac:dyDescent="0.25">
      <c r="A44" s="8" t="str">
        <f>_xlfn.CONCAT(VLOOKUP(_xlfn.CONCAT(Table1[[#This Row],[Dimension]],Table1[[#This Row],[Measure]],Table1[[#This Row],[Indicator]]),IndicatorType[],2,FALSE),".00",Table1[[#This Row],[Figure  ]])</f>
        <v>ECO.CIP.MOW.002</v>
      </c>
      <c r="B44" s="4" t="s">
        <v>16</v>
      </c>
      <c r="C44" s="6" t="s">
        <v>17</v>
      </c>
      <c r="D44" s="6" t="s">
        <v>44</v>
      </c>
      <c r="E44" s="6"/>
      <c r="F44" s="6"/>
      <c r="G44" s="6">
        <v>2</v>
      </c>
      <c r="H44" s="3" t="s">
        <v>50</v>
      </c>
      <c r="I44" s="3" t="s">
        <v>51</v>
      </c>
      <c r="J44" s="3" t="s">
        <v>29</v>
      </c>
      <c r="K44" s="3" t="s">
        <v>30</v>
      </c>
      <c r="L44" s="3" t="s">
        <v>47</v>
      </c>
      <c r="M44" s="3" t="s">
        <v>48</v>
      </c>
      <c r="N44" s="3" t="s">
        <v>49</v>
      </c>
      <c r="O44" s="3" t="s">
        <v>48</v>
      </c>
      <c r="P44" s="2"/>
      <c r="Q44" s="2"/>
    </row>
    <row r="45" spans="1:17" customFormat="1" x14ac:dyDescent="0.25">
      <c r="A45" s="8" t="str">
        <f>_xlfn.CONCAT(VLOOKUP(_xlfn.CONCAT(Table1[[#This Row],[Dimension]],Table1[[#This Row],[Measure]],Table1[[#This Row],[Indicator]]),IndicatorType[],2,FALSE),".00",Table1[[#This Row],[Figure  ]])</f>
        <v>ECO.CIP.MOW.003</v>
      </c>
      <c r="B45" s="4" t="s">
        <v>16</v>
      </c>
      <c r="C45" s="6" t="s">
        <v>17</v>
      </c>
      <c r="D45" s="6" t="s">
        <v>44</v>
      </c>
      <c r="E45" s="6"/>
      <c r="F45" s="6"/>
      <c r="G45" s="6">
        <v>3</v>
      </c>
      <c r="H45" s="3" t="s">
        <v>52</v>
      </c>
      <c r="I45" s="3" t="s">
        <v>53</v>
      </c>
      <c r="J45" s="3" t="s">
        <v>33</v>
      </c>
      <c r="K45" s="3" t="s">
        <v>22</v>
      </c>
      <c r="L45" s="3" t="s">
        <v>54</v>
      </c>
      <c r="M45" s="3" t="s">
        <v>48</v>
      </c>
      <c r="N45" s="3" t="s">
        <v>55</v>
      </c>
      <c r="O45" s="3" t="s">
        <v>48</v>
      </c>
      <c r="P45" s="2"/>
      <c r="Q45" s="2"/>
    </row>
    <row r="46" spans="1:17" customFormat="1" hidden="1" x14ac:dyDescent="0.25">
      <c r="A46" s="8" t="str">
        <f>_xlfn.CONCAT(VLOOKUP(_xlfn.CONCAT(Table1[[#This Row],[Dimension]],Table1[[#This Row],[Measure]],Table1[[#This Row],[Indicator]]),IndicatorType[],2,FALSE),".00",Table1[[#This Row],[Figure  ]])</f>
        <v>ECO.HOM.PIT.001</v>
      </c>
      <c r="B46" s="4" t="s">
        <v>16</v>
      </c>
      <c r="C46" s="6" t="s">
        <v>73</v>
      </c>
      <c r="D46" s="6" t="s">
        <v>74</v>
      </c>
      <c r="E46" s="6"/>
      <c r="F46" s="6"/>
      <c r="G46" s="6">
        <v>1</v>
      </c>
      <c r="H46" s="3" t="s">
        <v>73</v>
      </c>
      <c r="I46" s="3" t="s">
        <v>75</v>
      </c>
      <c r="J46" s="3" t="s">
        <v>21</v>
      </c>
      <c r="K46" s="3" t="s">
        <v>22</v>
      </c>
      <c r="L46" s="3" t="s">
        <v>76</v>
      </c>
      <c r="M46" s="3" t="s">
        <v>77</v>
      </c>
      <c r="N46" s="3" t="s">
        <v>78</v>
      </c>
      <c r="O46" s="3" t="s">
        <v>24</v>
      </c>
      <c r="P46" s="2"/>
      <c r="Q46" s="2"/>
    </row>
    <row r="47" spans="1:17" customFormat="1" hidden="1" x14ac:dyDescent="0.25">
      <c r="A47" s="8" t="str">
        <f>_xlfn.CONCAT(VLOOKUP(_xlfn.CONCAT(Table1[[#This Row],[Dimension]],Table1[[#This Row],[Measure]],Table1[[#This Row],[Indicator]]),IndicatorType[],2,FALSE),".00",Table1[[#This Row],[Figure  ]])</f>
        <v>ECO.HOM.PIT.002</v>
      </c>
      <c r="B47" s="4" t="s">
        <v>16</v>
      </c>
      <c r="C47" s="6" t="s">
        <v>73</v>
      </c>
      <c r="D47" s="6" t="s">
        <v>74</v>
      </c>
      <c r="E47" s="6"/>
      <c r="F47" s="6"/>
      <c r="G47" s="6">
        <v>2</v>
      </c>
      <c r="H47" s="3" t="s">
        <v>79</v>
      </c>
      <c r="I47" s="3" t="s">
        <v>80</v>
      </c>
      <c r="J47" s="3" t="s">
        <v>29</v>
      </c>
      <c r="K47" s="3" t="s">
        <v>30</v>
      </c>
      <c r="L47" s="3" t="s">
        <v>76</v>
      </c>
      <c r="M47" s="3" t="s">
        <v>77</v>
      </c>
      <c r="N47" s="3" t="s">
        <v>78</v>
      </c>
      <c r="O47" s="3" t="s">
        <v>24</v>
      </c>
      <c r="P47" s="2"/>
      <c r="Q47" s="2"/>
    </row>
    <row r="48" spans="1:17" customFormat="1" x14ac:dyDescent="0.25">
      <c r="A48" s="8" t="str">
        <f>_xlfn.CONCAT(VLOOKUP(_xlfn.CONCAT(Table1[[#This Row],[Dimension]],Table1[[#This Row],[Measure]],Table1[[#This Row],[Indicator]]),IndicatorType[],2,FALSE),".00",Table1[[#This Row],[Figure  ]])</f>
        <v>ECO.HOM.PIT.003</v>
      </c>
      <c r="B48" s="4" t="s">
        <v>16</v>
      </c>
      <c r="C48" s="6" t="s">
        <v>73</v>
      </c>
      <c r="D48" s="6" t="s">
        <v>74</v>
      </c>
      <c r="E48" s="6"/>
      <c r="F48" s="6"/>
      <c r="G48" s="6">
        <v>3</v>
      </c>
      <c r="H48" s="3" t="s">
        <v>81</v>
      </c>
      <c r="I48" s="3" t="s">
        <v>415</v>
      </c>
      <c r="J48" s="3" t="s">
        <v>33</v>
      </c>
      <c r="K48" s="3" t="s">
        <v>22</v>
      </c>
      <c r="L48" s="3" t="s">
        <v>82</v>
      </c>
      <c r="M48" s="3" t="s">
        <v>83</v>
      </c>
      <c r="N48" s="3" t="s">
        <v>84</v>
      </c>
      <c r="O48" s="3" t="s">
        <v>24</v>
      </c>
      <c r="P48" s="2"/>
      <c r="Q48" s="2" t="s">
        <v>85</v>
      </c>
    </row>
    <row r="49" spans="1:17" customFormat="1" hidden="1" x14ac:dyDescent="0.25">
      <c r="A49" s="8" t="str">
        <f>_xlfn.CONCAT(VLOOKUP(_xlfn.CONCAT(Table1[[#This Row],[Dimension]],Table1[[#This Row],[Measure]],Table1[[#This Row],[Indicator]]),IndicatorType[],2,FALSE),".00",Table1[[#This Row],[Figure  ]])</f>
        <v>ECO.HOM.SEH.001</v>
      </c>
      <c r="B49" s="4" t="s">
        <v>16</v>
      </c>
      <c r="C49" s="6" t="s">
        <v>73</v>
      </c>
      <c r="D49" s="6" t="s">
        <v>86</v>
      </c>
      <c r="E49" s="6"/>
      <c r="F49" s="6"/>
      <c r="G49" s="6">
        <v>1</v>
      </c>
      <c r="H49" s="3" t="s">
        <v>86</v>
      </c>
      <c r="I49" s="3" t="s">
        <v>416</v>
      </c>
      <c r="J49" s="3" t="s">
        <v>21</v>
      </c>
      <c r="K49" s="3" t="s">
        <v>22</v>
      </c>
      <c r="L49" s="3" t="s">
        <v>87</v>
      </c>
      <c r="M49" s="3" t="s">
        <v>39</v>
      </c>
      <c r="N49" s="3" t="s">
        <v>88</v>
      </c>
      <c r="O49" s="3" t="s">
        <v>39</v>
      </c>
      <c r="P49" s="2"/>
      <c r="Q49" s="2"/>
    </row>
    <row r="50" spans="1:17" customFormat="1" hidden="1" x14ac:dyDescent="0.25">
      <c r="A50" s="8" t="str">
        <f>_xlfn.CONCAT(VLOOKUP(_xlfn.CONCAT(Table1[[#This Row],[Dimension]],Table1[[#This Row],[Measure]],Table1[[#This Row],[Indicator]]),IndicatorType[],2,FALSE),".00",Table1[[#This Row],[Figure  ]])</f>
        <v>ECO.HOM.SEH.002</v>
      </c>
      <c r="B50" s="4" t="s">
        <v>16</v>
      </c>
      <c r="C50" s="6" t="s">
        <v>73</v>
      </c>
      <c r="D50" s="6" t="s">
        <v>86</v>
      </c>
      <c r="E50" s="6"/>
      <c r="F50" s="6"/>
      <c r="G50" s="6">
        <v>2</v>
      </c>
      <c r="H50" s="3" t="s">
        <v>89</v>
      </c>
      <c r="I50" s="3" t="s">
        <v>417</v>
      </c>
      <c r="J50" s="3" t="s">
        <v>29</v>
      </c>
      <c r="K50" s="3" t="s">
        <v>30</v>
      </c>
      <c r="L50" s="3" t="s">
        <v>87</v>
      </c>
      <c r="M50" s="3" t="s">
        <v>39</v>
      </c>
      <c r="N50" s="3" t="s">
        <v>88</v>
      </c>
      <c r="O50" s="3" t="s">
        <v>39</v>
      </c>
      <c r="P50" s="2"/>
      <c r="Q50" s="2"/>
    </row>
    <row r="51" spans="1:17" customFormat="1" x14ac:dyDescent="0.25">
      <c r="A51" s="8" t="str">
        <f>_xlfn.CONCAT(VLOOKUP(_xlfn.CONCAT(Table1[[#This Row],[Dimension]],Table1[[#This Row],[Measure]],Table1[[#This Row],[Indicator]]),IndicatorType[],2,FALSE),".00",Table1[[#This Row],[Figure  ]])</f>
        <v>ECO.HOM.SEH.003</v>
      </c>
      <c r="B51" s="4" t="s">
        <v>16</v>
      </c>
      <c r="C51" s="6" t="s">
        <v>73</v>
      </c>
      <c r="D51" s="6" t="s">
        <v>86</v>
      </c>
      <c r="E51" s="6"/>
      <c r="F51" s="6"/>
      <c r="G51" s="6">
        <v>3</v>
      </c>
      <c r="H51" s="3" t="s">
        <v>418</v>
      </c>
      <c r="I51" s="3" t="s">
        <v>419</v>
      </c>
      <c r="J51" s="3" t="s">
        <v>33</v>
      </c>
      <c r="K51" s="3" t="s">
        <v>22</v>
      </c>
      <c r="L51" s="3" t="s">
        <v>420</v>
      </c>
      <c r="M51" s="3" t="s">
        <v>39</v>
      </c>
      <c r="N51" s="3" t="s">
        <v>421</v>
      </c>
      <c r="O51" s="3" t="s">
        <v>39</v>
      </c>
      <c r="P51" s="2"/>
      <c r="Q51" s="2"/>
    </row>
    <row r="52" spans="1:17" customFormat="1" hidden="1" x14ac:dyDescent="0.25">
      <c r="A52" s="8" t="str">
        <f>_xlfn.CONCAT(VLOOKUP(_xlfn.CONCAT(Table1[[#This Row],[Dimension]],Table1[[#This Row],[Measure]],Table1[[#This Row],[Indicator]]),IndicatorType[],2,FALSE),".00",Table1[[#This Row],[Figure  ]])</f>
        <v>ECO.UNE.UER.001</v>
      </c>
      <c r="B52" s="4" t="s">
        <v>16</v>
      </c>
      <c r="C52" s="6" t="s">
        <v>66</v>
      </c>
      <c r="D52" s="6" t="s">
        <v>66</v>
      </c>
      <c r="E52" s="6"/>
      <c r="F52" s="6"/>
      <c r="G52" s="6">
        <v>1</v>
      </c>
      <c r="H52" s="3" t="s">
        <v>66</v>
      </c>
      <c r="I52" s="3" t="s">
        <v>412</v>
      </c>
      <c r="J52" s="3" t="s">
        <v>21</v>
      </c>
      <c r="K52" s="3" t="s">
        <v>22</v>
      </c>
      <c r="L52" s="3" t="s">
        <v>67</v>
      </c>
      <c r="M52" s="3" t="s">
        <v>24</v>
      </c>
      <c r="N52" s="3" t="s">
        <v>68</v>
      </c>
      <c r="O52" s="3" t="s">
        <v>24</v>
      </c>
      <c r="P52" s="2"/>
      <c r="Q52" s="2"/>
    </row>
    <row r="53" spans="1:17" customFormat="1" hidden="1" x14ac:dyDescent="0.25">
      <c r="A53" s="8" t="str">
        <f>_xlfn.CONCAT(VLOOKUP(_xlfn.CONCAT(Table1[[#This Row],[Dimension]],Table1[[#This Row],[Measure]],Table1[[#This Row],[Indicator]]),IndicatorType[],2,FALSE),".00",Table1[[#This Row],[Figure  ]])</f>
        <v>ECO.UNE.UER.002</v>
      </c>
      <c r="B53" s="4" t="s">
        <v>16</v>
      </c>
      <c r="C53" s="6" t="s">
        <v>66</v>
      </c>
      <c r="D53" s="6" t="s">
        <v>66</v>
      </c>
      <c r="E53" s="6"/>
      <c r="F53" s="6"/>
      <c r="G53" s="6">
        <v>2</v>
      </c>
      <c r="H53" s="3" t="s">
        <v>69</v>
      </c>
      <c r="I53" s="3" t="s">
        <v>413</v>
      </c>
      <c r="J53" s="3" t="s">
        <v>29</v>
      </c>
      <c r="K53" s="3" t="s">
        <v>30</v>
      </c>
      <c r="L53" s="3" t="s">
        <v>67</v>
      </c>
      <c r="M53" s="3" t="s">
        <v>24</v>
      </c>
      <c r="N53" s="3" t="s">
        <v>68</v>
      </c>
      <c r="O53" s="3" t="s">
        <v>24</v>
      </c>
      <c r="P53" s="2"/>
      <c r="Q53" s="2"/>
    </row>
    <row r="54" spans="1:17" customFormat="1" x14ac:dyDescent="0.25">
      <c r="A54" s="8" t="str">
        <f>_xlfn.CONCAT(VLOOKUP(_xlfn.CONCAT(Table1[[#This Row],[Dimension]],Table1[[#This Row],[Measure]],Table1[[#This Row],[Indicator]]),IndicatorType[],2,FALSE),".00",Table1[[#This Row],[Figure  ]])</f>
        <v>ECO.UNE.UER.003</v>
      </c>
      <c r="B54" s="4" t="s">
        <v>16</v>
      </c>
      <c r="C54" s="6" t="s">
        <v>66</v>
      </c>
      <c r="D54" s="6" t="s">
        <v>66</v>
      </c>
      <c r="E54" s="6"/>
      <c r="F54" s="6"/>
      <c r="G54" s="6">
        <v>3</v>
      </c>
      <c r="H54" s="3" t="s">
        <v>70</v>
      </c>
      <c r="I54" s="3" t="s">
        <v>414</v>
      </c>
      <c r="J54" s="3" t="s">
        <v>33</v>
      </c>
      <c r="K54" s="3" t="s">
        <v>22</v>
      </c>
      <c r="L54" s="3" t="s">
        <v>71</v>
      </c>
      <c r="M54" s="3" t="s">
        <v>24</v>
      </c>
      <c r="N54" s="3" t="s">
        <v>72</v>
      </c>
      <c r="O54" s="3" t="s">
        <v>24</v>
      </c>
      <c r="P54" s="2"/>
      <c r="Q54" s="2"/>
    </row>
    <row r="55" spans="1:17" customFormat="1" hidden="1" x14ac:dyDescent="0.25">
      <c r="A55" s="8" t="str">
        <f>_xlfn.CONCAT(VLOOKUP(_xlfn.CONCAT(Table1[[#This Row],[Dimension]],Table1[[#This Row],[Measure]],Table1[[#This Row],[Indicator]]),IndicatorType[],2,FALSE),".00",Table1[[#This Row],[Figure  ]])</f>
        <v>HSN.RSK.BTM.001</v>
      </c>
      <c r="B55" s="4" t="s">
        <v>129</v>
      </c>
      <c r="C55" s="6" t="s">
        <v>130</v>
      </c>
      <c r="D55" s="6" t="s">
        <v>131</v>
      </c>
      <c r="E55" s="6"/>
      <c r="F55" s="6"/>
      <c r="G55" s="6">
        <v>1</v>
      </c>
      <c r="H55" s="3" t="s">
        <v>131</v>
      </c>
      <c r="I55" s="3" t="s">
        <v>444</v>
      </c>
      <c r="J55" s="3" t="s">
        <v>21</v>
      </c>
      <c r="K55" s="3" t="s">
        <v>22</v>
      </c>
      <c r="L55" s="3" t="s">
        <v>132</v>
      </c>
      <c r="M55" s="3" t="s">
        <v>48</v>
      </c>
      <c r="N55" s="3" t="s">
        <v>111</v>
      </c>
      <c r="O55" s="3" t="s">
        <v>48</v>
      </c>
      <c r="P55" s="2"/>
      <c r="Q55" s="2"/>
    </row>
    <row r="56" spans="1:17" customFormat="1" hidden="1" x14ac:dyDescent="0.25">
      <c r="A56" s="8" t="str">
        <f>_xlfn.CONCAT(VLOOKUP(_xlfn.CONCAT(Table1[[#This Row],[Dimension]],Table1[[#This Row],[Measure]],Table1[[#This Row],[Indicator]]),IndicatorType[],2,FALSE),".00",Table1[[#This Row],[Figure  ]])</f>
        <v>HSN.RSK.BTM.002</v>
      </c>
      <c r="B56" s="4" t="s">
        <v>129</v>
      </c>
      <c r="C56" s="6" t="s">
        <v>130</v>
      </c>
      <c r="D56" s="6" t="s">
        <v>131</v>
      </c>
      <c r="E56" s="6"/>
      <c r="F56" s="6"/>
      <c r="G56" s="6">
        <v>2</v>
      </c>
      <c r="H56" s="3" t="s">
        <v>133</v>
      </c>
      <c r="I56" s="3" t="s">
        <v>445</v>
      </c>
      <c r="J56" s="3" t="s">
        <v>29</v>
      </c>
      <c r="K56" s="3" t="s">
        <v>30</v>
      </c>
      <c r="L56" s="3" t="s">
        <v>132</v>
      </c>
      <c r="M56" s="3" t="s">
        <v>48</v>
      </c>
      <c r="N56" s="3" t="s">
        <v>111</v>
      </c>
      <c r="O56" s="3" t="s">
        <v>48</v>
      </c>
      <c r="P56" s="2"/>
      <c r="Q56" s="2"/>
    </row>
    <row r="57" spans="1:17" customFormat="1" x14ac:dyDescent="0.25">
      <c r="A57" s="8" t="str">
        <f>_xlfn.CONCAT(VLOOKUP(_xlfn.CONCAT(Table1[[#This Row],[Dimension]],Table1[[#This Row],[Measure]],Table1[[#This Row],[Indicator]]),IndicatorType[],2,FALSE),".00",Table1[[#This Row],[Figure  ]])</f>
        <v>HSN.RSK.BTM.003</v>
      </c>
      <c r="B57" s="4" t="s">
        <v>129</v>
      </c>
      <c r="C57" s="6" t="s">
        <v>130</v>
      </c>
      <c r="D57" s="6" t="s">
        <v>131</v>
      </c>
      <c r="E57" s="6"/>
      <c r="F57" s="6"/>
      <c r="G57" s="6">
        <v>3</v>
      </c>
      <c r="H57" s="3" t="s">
        <v>134</v>
      </c>
      <c r="I57" s="3" t="s">
        <v>446</v>
      </c>
      <c r="J57" s="3" t="s">
        <v>33</v>
      </c>
      <c r="K57" s="3" t="s">
        <v>22</v>
      </c>
      <c r="L57" s="3" t="s">
        <v>135</v>
      </c>
      <c r="M57" s="3" t="s">
        <v>48</v>
      </c>
      <c r="N57" s="3" t="s">
        <v>115</v>
      </c>
      <c r="O57" s="3" t="s">
        <v>48</v>
      </c>
      <c r="P57" s="2"/>
      <c r="Q57" s="2"/>
    </row>
    <row r="58" spans="1:17" customFormat="1" hidden="1" x14ac:dyDescent="0.25">
      <c r="A58" s="8" t="str">
        <f>_xlfn.CONCAT(VLOOKUP(_xlfn.CONCAT(Table1[[#This Row],[Dimension]],Table1[[#This Row],[Measure]],Table1[[#This Row],[Indicator]]),IndicatorType[],2,FALSE),".00",Table1[[#This Row],[Figure  ]])</f>
        <v>HSN.RSK.BTM.004</v>
      </c>
      <c r="B58" s="4" t="s">
        <v>129</v>
      </c>
      <c r="C58" s="6" t="s">
        <v>130</v>
      </c>
      <c r="D58" s="6" t="s">
        <v>131</v>
      </c>
      <c r="E58" s="6"/>
      <c r="F58" s="6"/>
      <c r="G58" s="6">
        <v>4</v>
      </c>
      <c r="H58" s="3" t="s">
        <v>136</v>
      </c>
      <c r="I58" s="3" t="s">
        <v>447</v>
      </c>
      <c r="J58" s="3" t="s">
        <v>29</v>
      </c>
      <c r="K58" s="3" t="s">
        <v>30</v>
      </c>
      <c r="L58" s="3" t="s">
        <v>135</v>
      </c>
      <c r="M58" s="3" t="s">
        <v>48</v>
      </c>
      <c r="N58" s="3" t="s">
        <v>115</v>
      </c>
      <c r="O58" s="3" t="s">
        <v>48</v>
      </c>
      <c r="P58" s="2"/>
      <c r="Q58" s="2"/>
    </row>
    <row r="59" spans="1:17" customFormat="1" hidden="1" x14ac:dyDescent="0.25">
      <c r="A59" s="8" t="str">
        <f>_xlfn.CONCAT(VLOOKUP(_xlfn.CONCAT(Table1[[#This Row],[Dimension]],Table1[[#This Row],[Measure]],Table1[[#This Row],[Indicator]]),IndicatorType[],2,FALSE),".00",Table1[[#This Row],[Figure  ]])</f>
        <v>HSN.RSK.BUM.001</v>
      </c>
      <c r="B59" s="4" t="s">
        <v>129</v>
      </c>
      <c r="C59" s="6" t="s">
        <v>130</v>
      </c>
      <c r="D59" s="6" t="s">
        <v>137</v>
      </c>
      <c r="E59" s="6"/>
      <c r="F59" s="6"/>
      <c r="G59" s="6">
        <v>1</v>
      </c>
      <c r="H59" s="3" t="s">
        <v>137</v>
      </c>
      <c r="I59" s="3" t="s">
        <v>448</v>
      </c>
      <c r="J59" s="3" t="s">
        <v>21</v>
      </c>
      <c r="K59" s="3" t="s">
        <v>22</v>
      </c>
      <c r="L59" s="3" t="s">
        <v>138</v>
      </c>
      <c r="M59" s="3" t="s">
        <v>48</v>
      </c>
      <c r="N59" s="3" t="s">
        <v>111</v>
      </c>
      <c r="O59" s="3" t="s">
        <v>48</v>
      </c>
      <c r="P59" s="2"/>
      <c r="Q59" s="2"/>
    </row>
    <row r="60" spans="1:17" customFormat="1" hidden="1" x14ac:dyDescent="0.25">
      <c r="A60" s="8" t="str">
        <f>_xlfn.CONCAT(VLOOKUP(_xlfn.CONCAT(Table1[[#This Row],[Dimension]],Table1[[#This Row],[Measure]],Table1[[#This Row],[Indicator]]),IndicatorType[],2,FALSE),".00",Table1[[#This Row],[Figure  ]])</f>
        <v>HSN.RSK.BUM.002</v>
      </c>
      <c r="B60" s="4" t="s">
        <v>129</v>
      </c>
      <c r="C60" s="6" t="s">
        <v>130</v>
      </c>
      <c r="D60" s="6" t="s">
        <v>137</v>
      </c>
      <c r="E60" s="6"/>
      <c r="F60" s="6"/>
      <c r="G60" s="6">
        <v>2</v>
      </c>
      <c r="H60" s="3" t="s">
        <v>139</v>
      </c>
      <c r="I60" s="3" t="s">
        <v>449</v>
      </c>
      <c r="J60" s="3" t="s">
        <v>29</v>
      </c>
      <c r="K60" s="3" t="s">
        <v>30</v>
      </c>
      <c r="L60" s="3" t="s">
        <v>138</v>
      </c>
      <c r="M60" s="3" t="s">
        <v>48</v>
      </c>
      <c r="N60" s="3" t="s">
        <v>111</v>
      </c>
      <c r="O60" s="3" t="s">
        <v>48</v>
      </c>
      <c r="P60" s="2"/>
      <c r="Q60" s="2"/>
    </row>
    <row r="61" spans="1:17" customFormat="1" x14ac:dyDescent="0.25">
      <c r="A61" s="8" t="str">
        <f>_xlfn.CONCAT(VLOOKUP(_xlfn.CONCAT(Table1[[#This Row],[Dimension]],Table1[[#This Row],[Measure]],Table1[[#This Row],[Indicator]]),IndicatorType[],2,FALSE),".00",Table1[[#This Row],[Figure  ]])</f>
        <v>HSN.RSK.BUM.003</v>
      </c>
      <c r="B61" s="4" t="s">
        <v>129</v>
      </c>
      <c r="C61" s="6" t="s">
        <v>130</v>
      </c>
      <c r="D61" s="6" t="s">
        <v>137</v>
      </c>
      <c r="E61" s="6"/>
      <c r="F61" s="6"/>
      <c r="G61" s="6">
        <v>3</v>
      </c>
      <c r="H61" s="3" t="s">
        <v>140</v>
      </c>
      <c r="I61" s="3" t="s">
        <v>450</v>
      </c>
      <c r="J61" s="3" t="s">
        <v>33</v>
      </c>
      <c r="K61" s="3" t="s">
        <v>22</v>
      </c>
      <c r="L61" s="3" t="s">
        <v>141</v>
      </c>
      <c r="M61" s="3" t="s">
        <v>48</v>
      </c>
      <c r="N61" s="3" t="s">
        <v>115</v>
      </c>
      <c r="O61" s="3" t="s">
        <v>48</v>
      </c>
      <c r="P61" s="2"/>
      <c r="Q61" s="2"/>
    </row>
    <row r="62" spans="1:17" customFormat="1" hidden="1" x14ac:dyDescent="0.25">
      <c r="A62" s="8" t="str">
        <f>_xlfn.CONCAT(VLOOKUP(_xlfn.CONCAT(Table1[[#This Row],[Dimension]],Table1[[#This Row],[Measure]],Table1[[#This Row],[Indicator]]),IndicatorType[],2,FALSE),".00",Table1[[#This Row],[Figure  ]])</f>
        <v>HSN.RSK.BUM.004</v>
      </c>
      <c r="B62" s="4" t="s">
        <v>129</v>
      </c>
      <c r="C62" s="6" t="s">
        <v>130</v>
      </c>
      <c r="D62" s="6" t="s">
        <v>137</v>
      </c>
      <c r="E62" s="6"/>
      <c r="F62" s="6"/>
      <c r="G62" s="6">
        <v>4</v>
      </c>
      <c r="H62" s="3" t="s">
        <v>142</v>
      </c>
      <c r="I62" s="3" t="s">
        <v>451</v>
      </c>
      <c r="J62" s="3" t="s">
        <v>29</v>
      </c>
      <c r="K62" s="3" t="s">
        <v>30</v>
      </c>
      <c r="L62" s="3" t="s">
        <v>141</v>
      </c>
      <c r="M62" s="3" t="s">
        <v>48</v>
      </c>
      <c r="N62" s="3" t="s">
        <v>115</v>
      </c>
      <c r="O62" s="3" t="s">
        <v>48</v>
      </c>
      <c r="P62" s="2"/>
      <c r="Q62" s="2"/>
    </row>
    <row r="63" spans="1:17" customFormat="1" hidden="1" x14ac:dyDescent="0.25">
      <c r="A63" s="8" t="str">
        <f>_xlfn.CONCAT(VLOOKUP(_xlfn.CONCAT(Table1[[#This Row],[Dimension]],Table1[[#This Row],[Measure]],Table1[[#This Row],[Indicator]]),IndicatorType[],2,FALSE),".00",Table1[[#This Row],[Figure  ]])</f>
        <v>HSN.RSK.CUM.001</v>
      </c>
      <c r="B63" s="4" t="s">
        <v>129</v>
      </c>
      <c r="C63" s="6" t="s">
        <v>130</v>
      </c>
      <c r="D63" s="6" t="s">
        <v>190</v>
      </c>
      <c r="E63" s="6"/>
      <c r="F63" s="6"/>
      <c r="G63" s="6">
        <v>1</v>
      </c>
      <c r="H63" s="3" t="s">
        <v>190</v>
      </c>
      <c r="I63" s="3" t="s">
        <v>191</v>
      </c>
      <c r="J63" s="3" t="s">
        <v>21</v>
      </c>
      <c r="K63" s="3" t="s">
        <v>22</v>
      </c>
      <c r="L63" s="3" t="s">
        <v>192</v>
      </c>
      <c r="M63" s="3" t="s">
        <v>48</v>
      </c>
      <c r="N63" s="3" t="s">
        <v>193</v>
      </c>
      <c r="O63" s="3" t="s">
        <v>48</v>
      </c>
      <c r="P63" s="2"/>
      <c r="Q63" s="2"/>
    </row>
    <row r="64" spans="1:17" customFormat="1" hidden="1" x14ac:dyDescent="0.25">
      <c r="A64" s="8" t="str">
        <f>_xlfn.CONCAT(VLOOKUP(_xlfn.CONCAT(Table1[[#This Row],[Dimension]],Table1[[#This Row],[Measure]],Table1[[#This Row],[Indicator]]),IndicatorType[],2,FALSE),".00",Table1[[#This Row],[Figure  ]])</f>
        <v>HSN.RSK.CUM.002</v>
      </c>
      <c r="B64" s="4" t="s">
        <v>129</v>
      </c>
      <c r="C64" s="6" t="s">
        <v>130</v>
      </c>
      <c r="D64" s="6" t="s">
        <v>190</v>
      </c>
      <c r="E64" s="6"/>
      <c r="F64" s="6"/>
      <c r="G64" s="6">
        <v>2</v>
      </c>
      <c r="H64" s="3" t="s">
        <v>194</v>
      </c>
      <c r="I64" s="3" t="s">
        <v>195</v>
      </c>
      <c r="J64" s="3" t="s">
        <v>29</v>
      </c>
      <c r="K64" s="3" t="s">
        <v>30</v>
      </c>
      <c r="L64" s="3" t="s">
        <v>196</v>
      </c>
      <c r="M64" s="3" t="s">
        <v>48</v>
      </c>
      <c r="N64" s="3" t="s">
        <v>193</v>
      </c>
      <c r="O64" s="3" t="s">
        <v>48</v>
      </c>
      <c r="P64" s="2"/>
      <c r="Q64" s="2"/>
    </row>
    <row r="65" spans="1:17" customFormat="1" x14ac:dyDescent="0.25">
      <c r="A65" s="8" t="str">
        <f>_xlfn.CONCAT(VLOOKUP(_xlfn.CONCAT(Table1[[#This Row],[Dimension]],Table1[[#This Row],[Measure]],Table1[[#This Row],[Indicator]]),IndicatorType[],2,FALSE),".00",Table1[[#This Row],[Figure  ]])</f>
        <v>HSN.RSK.CUM.003</v>
      </c>
      <c r="B65" s="4" t="s">
        <v>129</v>
      </c>
      <c r="C65" s="6" t="s">
        <v>130</v>
      </c>
      <c r="D65" s="6" t="s">
        <v>190</v>
      </c>
      <c r="E65" s="6"/>
      <c r="F65" s="6"/>
      <c r="G65" s="6">
        <v>3</v>
      </c>
      <c r="H65" s="3" t="s">
        <v>197</v>
      </c>
      <c r="I65" s="3" t="s">
        <v>198</v>
      </c>
      <c r="J65" s="3" t="s">
        <v>33</v>
      </c>
      <c r="K65" s="3" t="s">
        <v>22</v>
      </c>
      <c r="L65" s="3" t="s">
        <v>199</v>
      </c>
      <c r="M65" s="3" t="s">
        <v>48</v>
      </c>
      <c r="N65" s="3" t="s">
        <v>200</v>
      </c>
      <c r="O65" s="3" t="s">
        <v>48</v>
      </c>
      <c r="P65" s="2"/>
      <c r="Q65" s="2"/>
    </row>
    <row r="66" spans="1:17" customFormat="1" hidden="1" x14ac:dyDescent="0.25">
      <c r="A66" s="8" t="str">
        <f>_xlfn.CONCAT(VLOOKUP(_xlfn.CONCAT(Table1[[#This Row],[Dimension]],Table1[[#This Row],[Measure]],Table1[[#This Row],[Indicator]]),IndicatorType[],2,FALSE),".00",Table1[[#This Row],[Figure  ]])</f>
        <v>HSN.RSK.CUM.004</v>
      </c>
      <c r="B66" s="4" t="s">
        <v>129</v>
      </c>
      <c r="C66" s="6" t="s">
        <v>130</v>
      </c>
      <c r="D66" s="6" t="s">
        <v>190</v>
      </c>
      <c r="E66" s="6"/>
      <c r="F66" s="6"/>
      <c r="G66" s="6">
        <v>4</v>
      </c>
      <c r="H66" s="3" t="s">
        <v>201</v>
      </c>
      <c r="I66" s="3" t="s">
        <v>202</v>
      </c>
      <c r="J66" s="3" t="s">
        <v>29</v>
      </c>
      <c r="K66" s="3" t="s">
        <v>30</v>
      </c>
      <c r="L66" s="3" t="s">
        <v>199</v>
      </c>
      <c r="M66" s="3" t="s">
        <v>48</v>
      </c>
      <c r="N66" s="3" t="s">
        <v>200</v>
      </c>
      <c r="O66" s="3" t="s">
        <v>48</v>
      </c>
      <c r="P66" s="2"/>
      <c r="Q66" s="2"/>
    </row>
    <row r="67" spans="1:17" customFormat="1" hidden="1" x14ac:dyDescent="0.25">
      <c r="A67" s="8" t="str">
        <f>_xlfn.CONCAT(VLOOKUP(_xlfn.CONCAT(Table1[[#This Row],[Dimension]],Table1[[#This Row],[Measure]],Table1[[#This Row],[Indicator]]),IndicatorType[],2,FALSE),".00",Table1[[#This Row],[Figure  ]])</f>
        <v>HSN.RSK.CUM.005</v>
      </c>
      <c r="B67" s="4" t="s">
        <v>129</v>
      </c>
      <c r="C67" s="6" t="s">
        <v>130</v>
      </c>
      <c r="D67" s="6" t="s">
        <v>190</v>
      </c>
      <c r="E67" s="6"/>
      <c r="F67" s="6"/>
      <c r="G67" s="6">
        <v>5</v>
      </c>
      <c r="H67" s="3" t="s">
        <v>203</v>
      </c>
      <c r="I67" s="3" t="s">
        <v>204</v>
      </c>
      <c r="J67" s="3" t="s">
        <v>33</v>
      </c>
      <c r="K67" s="3" t="s">
        <v>22</v>
      </c>
      <c r="L67" s="3" t="s">
        <v>205</v>
      </c>
      <c r="M67" s="3" t="s">
        <v>48</v>
      </c>
      <c r="N67" s="3" t="s">
        <v>200</v>
      </c>
      <c r="O67" s="3" t="s">
        <v>48</v>
      </c>
      <c r="P67" s="2"/>
      <c r="Q67" s="2"/>
    </row>
    <row r="68" spans="1:17" customFormat="1" hidden="1" x14ac:dyDescent="0.25">
      <c r="A68" s="8" t="str">
        <f>_xlfn.CONCAT(VLOOKUP(_xlfn.CONCAT(Table1[[#This Row],[Dimension]],Table1[[#This Row],[Measure]],Table1[[#This Row],[Indicator]]),IndicatorType[],2,FALSE),".00",Table1[[#This Row],[Figure  ]])</f>
        <v>HSN.RSK.CUM.006</v>
      </c>
      <c r="B68" s="4" t="s">
        <v>129</v>
      </c>
      <c r="C68" s="6" t="s">
        <v>130</v>
      </c>
      <c r="D68" s="6" t="s">
        <v>190</v>
      </c>
      <c r="E68" s="6"/>
      <c r="F68" s="6"/>
      <c r="G68" s="6">
        <v>6</v>
      </c>
      <c r="H68" s="3" t="s">
        <v>206</v>
      </c>
      <c r="I68" s="3" t="s">
        <v>207</v>
      </c>
      <c r="J68" s="3" t="s">
        <v>208</v>
      </c>
      <c r="K68" s="3" t="s">
        <v>22</v>
      </c>
      <c r="L68" s="3" t="s">
        <v>209</v>
      </c>
      <c r="M68" s="3" t="s">
        <v>48</v>
      </c>
      <c r="N68" s="3" t="s">
        <v>193</v>
      </c>
      <c r="O68" s="3" t="s">
        <v>48</v>
      </c>
      <c r="P68" s="2"/>
      <c r="Q68" s="2"/>
    </row>
    <row r="69" spans="1:17" customFormat="1" hidden="1" x14ac:dyDescent="0.25">
      <c r="A69" s="8" t="str">
        <f>_xlfn.CONCAT(VLOOKUP(_xlfn.CONCAT(Table1[[#This Row],[Dimension]],Table1[[#This Row],[Measure]],Table1[[#This Row],[Indicator]]),IndicatorType[],2,FALSE),".00",Table1[[#This Row],[Figure  ]])</f>
        <v>HSN.RSK.IPC.001</v>
      </c>
      <c r="B69" s="4" t="s">
        <v>129</v>
      </c>
      <c r="C69" s="6" t="s">
        <v>130</v>
      </c>
      <c r="D69" s="6" t="s">
        <v>143</v>
      </c>
      <c r="E69" s="6"/>
      <c r="F69" s="6"/>
      <c r="G69" s="6">
        <v>1</v>
      </c>
      <c r="H69" s="3" t="s">
        <v>143</v>
      </c>
      <c r="I69" s="3" t="s">
        <v>144</v>
      </c>
      <c r="J69" s="3" t="s">
        <v>21</v>
      </c>
      <c r="K69" s="3" t="s">
        <v>22</v>
      </c>
      <c r="L69" s="3" t="s">
        <v>145</v>
      </c>
      <c r="M69" s="3" t="s">
        <v>48</v>
      </c>
      <c r="N69" s="3" t="s">
        <v>111</v>
      </c>
      <c r="O69" s="3" t="s">
        <v>48</v>
      </c>
      <c r="P69" s="2"/>
      <c r="Q69" s="2"/>
    </row>
    <row r="70" spans="1:17" customFormat="1" hidden="1" x14ac:dyDescent="0.25">
      <c r="A70" s="8" t="str">
        <f>_xlfn.CONCAT(VLOOKUP(_xlfn.CONCAT(Table1[[#This Row],[Dimension]],Table1[[#This Row],[Measure]],Table1[[#This Row],[Indicator]]),IndicatorType[],2,FALSE),".00",Table1[[#This Row],[Figure  ]])</f>
        <v>HSN.RSK.IPC.002</v>
      </c>
      <c r="B70" s="4" t="s">
        <v>129</v>
      </c>
      <c r="C70" s="6" t="s">
        <v>130</v>
      </c>
      <c r="D70" s="6" t="s">
        <v>143</v>
      </c>
      <c r="E70" s="6"/>
      <c r="F70" s="6"/>
      <c r="G70" s="6">
        <v>2</v>
      </c>
      <c r="H70" s="3" t="s">
        <v>146</v>
      </c>
      <c r="I70" s="3" t="s">
        <v>147</v>
      </c>
      <c r="J70" s="3" t="s">
        <v>29</v>
      </c>
      <c r="K70" s="3" t="s">
        <v>30</v>
      </c>
      <c r="L70" s="3" t="s">
        <v>145</v>
      </c>
      <c r="M70" s="3" t="s">
        <v>48</v>
      </c>
      <c r="N70" s="3" t="s">
        <v>111</v>
      </c>
      <c r="O70" s="3" t="s">
        <v>48</v>
      </c>
      <c r="P70" s="2"/>
      <c r="Q70" s="2"/>
    </row>
    <row r="71" spans="1:17" customFormat="1" x14ac:dyDescent="0.25">
      <c r="A71" s="8" t="str">
        <f>_xlfn.CONCAT(VLOOKUP(_xlfn.CONCAT(Table1[[#This Row],[Dimension]],Table1[[#This Row],[Measure]],Table1[[#This Row],[Indicator]]),IndicatorType[],2,FALSE),".00",Table1[[#This Row],[Figure  ]])</f>
        <v>HSN.RSK.IPC.003</v>
      </c>
      <c r="B71" s="4" t="s">
        <v>129</v>
      </c>
      <c r="C71" s="6" t="s">
        <v>130</v>
      </c>
      <c r="D71" s="6" t="s">
        <v>143</v>
      </c>
      <c r="E71" s="6"/>
      <c r="F71" s="6"/>
      <c r="G71" s="6">
        <v>3</v>
      </c>
      <c r="H71" s="3" t="s">
        <v>148</v>
      </c>
      <c r="I71" s="3" t="s">
        <v>149</v>
      </c>
      <c r="J71" s="3" t="s">
        <v>33</v>
      </c>
      <c r="K71" s="3" t="s">
        <v>22</v>
      </c>
      <c r="L71" s="3" t="s">
        <v>150</v>
      </c>
      <c r="M71" s="3" t="s">
        <v>48</v>
      </c>
      <c r="N71" s="3" t="s">
        <v>115</v>
      </c>
      <c r="O71" s="3" t="s">
        <v>48</v>
      </c>
      <c r="P71" s="2"/>
      <c r="Q71" s="2"/>
    </row>
    <row r="72" spans="1:17" customFormat="1" hidden="1" x14ac:dyDescent="0.25">
      <c r="A72" s="8" t="str">
        <f>_xlfn.CONCAT(VLOOKUP(_xlfn.CONCAT(Table1[[#This Row],[Dimension]],Table1[[#This Row],[Measure]],Table1[[#This Row],[Indicator]]),IndicatorType[],2,FALSE),".00",Table1[[#This Row],[Figure  ]])</f>
        <v>HSN.RSK.IPC.004</v>
      </c>
      <c r="B72" s="4" t="s">
        <v>129</v>
      </c>
      <c r="C72" s="6" t="s">
        <v>130</v>
      </c>
      <c r="D72" s="6" t="s">
        <v>143</v>
      </c>
      <c r="E72" s="6"/>
      <c r="F72" s="6"/>
      <c r="G72" s="6">
        <v>4</v>
      </c>
      <c r="H72" s="3" t="s">
        <v>151</v>
      </c>
      <c r="I72" s="3" t="s">
        <v>152</v>
      </c>
      <c r="J72" s="3" t="s">
        <v>29</v>
      </c>
      <c r="K72" s="3" t="s">
        <v>30</v>
      </c>
      <c r="L72" s="3" t="s">
        <v>150</v>
      </c>
      <c r="M72" s="3" t="s">
        <v>48</v>
      </c>
      <c r="N72" s="3" t="s">
        <v>115</v>
      </c>
      <c r="O72" s="3" t="s">
        <v>48</v>
      </c>
      <c r="P72" s="2"/>
      <c r="Q72" s="2"/>
    </row>
    <row r="73" spans="1:17" customFormat="1" hidden="1" x14ac:dyDescent="0.25">
      <c r="A73" s="8" t="str">
        <f>_xlfn.CONCAT(VLOOKUP(_xlfn.CONCAT(Table1[[#This Row],[Dimension]],Table1[[#This Row],[Measure]],Table1[[#This Row],[Indicator]]),IndicatorType[],2,FALSE),".00",Table1[[#This Row],[Figure  ]])</f>
        <v>HSN.RSK.LME.001</v>
      </c>
      <c r="B73" s="4" t="s">
        <v>129</v>
      </c>
      <c r="C73" s="6" t="s">
        <v>130</v>
      </c>
      <c r="D73" s="6" t="s">
        <v>169</v>
      </c>
      <c r="E73" s="6"/>
      <c r="F73" s="6"/>
      <c r="G73" s="6">
        <v>1</v>
      </c>
      <c r="H73" s="3" t="s">
        <v>169</v>
      </c>
      <c r="I73" s="3" t="s">
        <v>170</v>
      </c>
      <c r="J73" s="3" t="s">
        <v>21</v>
      </c>
      <c r="K73" s="3" t="s">
        <v>22</v>
      </c>
      <c r="L73" s="3" t="s">
        <v>171</v>
      </c>
      <c r="M73" s="3" t="s">
        <v>48</v>
      </c>
      <c r="N73" s="3" t="s">
        <v>111</v>
      </c>
      <c r="O73" s="3" t="s">
        <v>48</v>
      </c>
      <c r="P73" s="2"/>
      <c r="Q73" s="2"/>
    </row>
    <row r="74" spans="1:17" customFormat="1" hidden="1" x14ac:dyDescent="0.25">
      <c r="A74" s="8" t="str">
        <f>_xlfn.CONCAT(VLOOKUP(_xlfn.CONCAT(Table1[[#This Row],[Dimension]],Table1[[#This Row],[Measure]],Table1[[#This Row],[Indicator]]),IndicatorType[],2,FALSE),".00",Table1[[#This Row],[Figure  ]])</f>
        <v>HSN.RSK.LME.002</v>
      </c>
      <c r="B74" s="4" t="s">
        <v>129</v>
      </c>
      <c r="C74" s="6" t="s">
        <v>130</v>
      </c>
      <c r="D74" s="6" t="s">
        <v>169</v>
      </c>
      <c r="E74" s="6"/>
      <c r="F74" s="6"/>
      <c r="G74" s="6">
        <v>2</v>
      </c>
      <c r="H74" s="3" t="s">
        <v>172</v>
      </c>
      <c r="I74" s="3" t="s">
        <v>173</v>
      </c>
      <c r="J74" s="3" t="s">
        <v>29</v>
      </c>
      <c r="K74" s="3" t="s">
        <v>30</v>
      </c>
      <c r="L74" s="3" t="s">
        <v>171</v>
      </c>
      <c r="M74" s="3" t="s">
        <v>48</v>
      </c>
      <c r="N74" s="3" t="s">
        <v>111</v>
      </c>
      <c r="O74" s="3" t="s">
        <v>48</v>
      </c>
      <c r="P74" s="2"/>
      <c r="Q74" s="2"/>
    </row>
    <row r="75" spans="1:17" customFormat="1" x14ac:dyDescent="0.25">
      <c r="A75" s="8" t="str">
        <f>_xlfn.CONCAT(VLOOKUP(_xlfn.CONCAT(Table1[[#This Row],[Dimension]],Table1[[#This Row],[Measure]],Table1[[#This Row],[Indicator]]),IndicatorType[],2,FALSE),".00",Table1[[#This Row],[Figure  ]])</f>
        <v>HSN.RSK.LME.003</v>
      </c>
      <c r="B75" s="4" t="s">
        <v>129</v>
      </c>
      <c r="C75" s="6" t="s">
        <v>130</v>
      </c>
      <c r="D75" s="6" t="s">
        <v>169</v>
      </c>
      <c r="E75" s="6"/>
      <c r="F75" s="6"/>
      <c r="G75" s="6">
        <v>3</v>
      </c>
      <c r="H75" s="3" t="s">
        <v>174</v>
      </c>
      <c r="I75" s="3" t="s">
        <v>175</v>
      </c>
      <c r="J75" s="3" t="s">
        <v>33</v>
      </c>
      <c r="K75" s="3" t="s">
        <v>22</v>
      </c>
      <c r="L75" s="3" t="s">
        <v>176</v>
      </c>
      <c r="M75" s="3" t="s">
        <v>48</v>
      </c>
      <c r="N75" s="3" t="s">
        <v>115</v>
      </c>
      <c r="O75" s="3" t="s">
        <v>48</v>
      </c>
      <c r="P75" s="2"/>
      <c r="Q75" s="2"/>
    </row>
    <row r="76" spans="1:17" customFormat="1" hidden="1" x14ac:dyDescent="0.25">
      <c r="A76" s="8" t="str">
        <f>_xlfn.CONCAT(VLOOKUP(_xlfn.CONCAT(Table1[[#This Row],[Dimension]],Table1[[#This Row],[Measure]],Table1[[#This Row],[Indicator]]),IndicatorType[],2,FALSE),".00",Table1[[#This Row],[Figure  ]])</f>
        <v>HSN.RSK.LME.004</v>
      </c>
      <c r="B76" s="4" t="s">
        <v>129</v>
      </c>
      <c r="C76" s="6" t="s">
        <v>130</v>
      </c>
      <c r="D76" s="6" t="s">
        <v>169</v>
      </c>
      <c r="E76" s="6"/>
      <c r="F76" s="6"/>
      <c r="G76" s="6">
        <v>4</v>
      </c>
      <c r="H76" s="3" t="s">
        <v>177</v>
      </c>
      <c r="I76" s="3" t="s">
        <v>178</v>
      </c>
      <c r="J76" s="3" t="s">
        <v>29</v>
      </c>
      <c r="K76" s="3" t="s">
        <v>30</v>
      </c>
      <c r="L76" s="3" t="s">
        <v>176</v>
      </c>
      <c r="M76" s="3" t="s">
        <v>48</v>
      </c>
      <c r="N76" s="3" t="s">
        <v>115</v>
      </c>
      <c r="O76" s="3" t="s">
        <v>48</v>
      </c>
      <c r="P76" s="2"/>
      <c r="Q76" s="2"/>
    </row>
    <row r="77" spans="1:17" customFormat="1" hidden="1" x14ac:dyDescent="0.25">
      <c r="A77" s="8" t="str">
        <f>_xlfn.CONCAT(VLOOKUP(_xlfn.CONCAT(Table1[[#This Row],[Dimension]],Table1[[#This Row],[Measure]],Table1[[#This Row],[Indicator]]),IndicatorType[],2,FALSE),".00",Table1[[#This Row],[Figure  ]])</f>
        <v>HSN.RSK.MOW.001</v>
      </c>
      <c r="B77" s="4" t="s">
        <v>129</v>
      </c>
      <c r="C77" s="6" t="s">
        <v>130</v>
      </c>
      <c r="D77" s="6" t="s">
        <v>44</v>
      </c>
      <c r="E77" s="6"/>
      <c r="F77" s="6"/>
      <c r="G77" s="6">
        <v>1</v>
      </c>
      <c r="H77" s="3" t="s">
        <v>44</v>
      </c>
      <c r="I77" s="3" t="s">
        <v>179</v>
      </c>
      <c r="J77" s="3" t="s">
        <v>21</v>
      </c>
      <c r="K77" s="3" t="s">
        <v>22</v>
      </c>
      <c r="L77" s="3" t="s">
        <v>180</v>
      </c>
      <c r="M77" s="3" t="s">
        <v>48</v>
      </c>
      <c r="N77" s="3" t="s">
        <v>181</v>
      </c>
      <c r="O77" s="3" t="s">
        <v>48</v>
      </c>
      <c r="P77" s="2"/>
      <c r="Q77" s="2"/>
    </row>
    <row r="78" spans="1:17" customFormat="1" hidden="1" x14ac:dyDescent="0.25">
      <c r="A78" s="8" t="str">
        <f>_xlfn.CONCAT(VLOOKUP(_xlfn.CONCAT(Table1[[#This Row],[Dimension]],Table1[[#This Row],[Measure]],Table1[[#This Row],[Indicator]]),IndicatorType[],2,FALSE),".00",Table1[[#This Row],[Figure  ]])</f>
        <v>HSN.RSK.MOW.002</v>
      </c>
      <c r="B78" s="4" t="s">
        <v>129</v>
      </c>
      <c r="C78" s="6" t="s">
        <v>130</v>
      </c>
      <c r="D78" s="6" t="s">
        <v>44</v>
      </c>
      <c r="E78" s="6"/>
      <c r="F78" s="6"/>
      <c r="G78" s="6">
        <v>2</v>
      </c>
      <c r="H78" s="3" t="s">
        <v>182</v>
      </c>
      <c r="I78" s="3" t="s">
        <v>183</v>
      </c>
      <c r="J78" s="3" t="s">
        <v>29</v>
      </c>
      <c r="K78" s="3" t="s">
        <v>30</v>
      </c>
      <c r="L78" s="3" t="s">
        <v>180</v>
      </c>
      <c r="M78" s="3" t="s">
        <v>48</v>
      </c>
      <c r="N78" s="3" t="s">
        <v>181</v>
      </c>
      <c r="O78" s="3" t="s">
        <v>48</v>
      </c>
      <c r="P78" s="2"/>
      <c r="Q78" s="2"/>
    </row>
    <row r="79" spans="1:17" customFormat="1" x14ac:dyDescent="0.25">
      <c r="A79" s="8" t="str">
        <f>_xlfn.CONCAT(VLOOKUP(_xlfn.CONCAT(Table1[[#This Row],[Dimension]],Table1[[#This Row],[Measure]],Table1[[#This Row],[Indicator]]),IndicatorType[],2,FALSE),".00",Table1[[#This Row],[Figure  ]])</f>
        <v>HSN.RSK.MOW.003</v>
      </c>
      <c r="B79" s="4" t="s">
        <v>129</v>
      </c>
      <c r="C79" s="6" t="s">
        <v>130</v>
      </c>
      <c r="D79" s="6" t="s">
        <v>44</v>
      </c>
      <c r="E79" s="6"/>
      <c r="F79" s="6"/>
      <c r="G79" s="6">
        <v>3</v>
      </c>
      <c r="H79" s="3" t="s">
        <v>184</v>
      </c>
      <c r="I79" s="3" t="s">
        <v>185</v>
      </c>
      <c r="J79" s="3" t="s">
        <v>33</v>
      </c>
      <c r="K79" s="3" t="s">
        <v>22</v>
      </c>
      <c r="L79" s="3" t="s">
        <v>186</v>
      </c>
      <c r="M79" s="3" t="s">
        <v>48</v>
      </c>
      <c r="N79" s="3" t="s">
        <v>187</v>
      </c>
      <c r="O79" s="3" t="s">
        <v>48</v>
      </c>
      <c r="P79" s="2"/>
      <c r="Q79" s="2"/>
    </row>
    <row r="80" spans="1:17" customFormat="1" hidden="1" x14ac:dyDescent="0.25">
      <c r="A80" s="8" t="str">
        <f>_xlfn.CONCAT(VLOOKUP(_xlfn.CONCAT(Table1[[#This Row],[Dimension]],Table1[[#This Row],[Measure]],Table1[[#This Row],[Indicator]]),IndicatorType[],2,FALSE),".00",Table1[[#This Row],[Figure  ]])</f>
        <v>HSN.RSK.MOW.004</v>
      </c>
      <c r="B80" s="4" t="s">
        <v>129</v>
      </c>
      <c r="C80" s="6" t="s">
        <v>130</v>
      </c>
      <c r="D80" s="6" t="s">
        <v>44</v>
      </c>
      <c r="E80" s="6"/>
      <c r="F80" s="6"/>
      <c r="G80" s="6">
        <v>4</v>
      </c>
      <c r="H80" s="3" t="s">
        <v>188</v>
      </c>
      <c r="I80" s="3" t="s">
        <v>189</v>
      </c>
      <c r="J80" s="3" t="s">
        <v>29</v>
      </c>
      <c r="K80" s="3" t="s">
        <v>30</v>
      </c>
      <c r="L80" s="3" t="s">
        <v>186</v>
      </c>
      <c r="M80" s="3" t="s">
        <v>48</v>
      </c>
      <c r="N80" s="3" t="s">
        <v>187</v>
      </c>
      <c r="O80" s="3" t="s">
        <v>48</v>
      </c>
      <c r="P80" s="2"/>
      <c r="Q80" s="2"/>
    </row>
    <row r="81" spans="1:17" customFormat="1" hidden="1" x14ac:dyDescent="0.25">
      <c r="A81" s="8" t="str">
        <f>_xlfn.CONCAT(VLOOKUP(_xlfn.CONCAT(Table1[[#This Row],[Dimension]],Table1[[#This Row],[Measure]],Table1[[#This Row],[Indicator]]),IndicatorType[],2,FALSE),".00",Table1[[#This Row],[Figure  ]])</f>
        <v>HSN.RSK.PTE.001</v>
      </c>
      <c r="B81" s="4" t="s">
        <v>129</v>
      </c>
      <c r="C81" s="6" t="s">
        <v>130</v>
      </c>
      <c r="D81" s="6" t="s">
        <v>163</v>
      </c>
      <c r="E81" s="6"/>
      <c r="F81" s="6"/>
      <c r="G81" s="6">
        <v>1</v>
      </c>
      <c r="H81" s="3" t="s">
        <v>163</v>
      </c>
      <c r="I81" s="3" t="s">
        <v>452</v>
      </c>
      <c r="J81" s="3" t="s">
        <v>21</v>
      </c>
      <c r="K81" s="3" t="s">
        <v>22</v>
      </c>
      <c r="L81" s="3" t="s">
        <v>164</v>
      </c>
      <c r="M81" s="3" t="s">
        <v>48</v>
      </c>
      <c r="N81" s="3" t="s">
        <v>111</v>
      </c>
      <c r="O81" s="3" t="s">
        <v>48</v>
      </c>
      <c r="P81" s="2"/>
      <c r="Q81" s="2"/>
    </row>
    <row r="82" spans="1:17" customFormat="1" hidden="1" x14ac:dyDescent="0.25">
      <c r="A82" s="8" t="str">
        <f>_xlfn.CONCAT(VLOOKUP(_xlfn.CONCAT(Table1[[#This Row],[Dimension]],Table1[[#This Row],[Measure]],Table1[[#This Row],[Indicator]]),IndicatorType[],2,FALSE),".00",Table1[[#This Row],[Figure  ]])</f>
        <v>HSN.RSK.PTE.002</v>
      </c>
      <c r="B82" s="4" t="s">
        <v>129</v>
      </c>
      <c r="C82" s="6" t="s">
        <v>130</v>
      </c>
      <c r="D82" s="6" t="s">
        <v>163</v>
      </c>
      <c r="E82" s="6"/>
      <c r="F82" s="6"/>
      <c r="G82" s="6">
        <v>2</v>
      </c>
      <c r="H82" s="3" t="s">
        <v>165</v>
      </c>
      <c r="I82" s="3" t="s">
        <v>453</v>
      </c>
      <c r="J82" s="3" t="s">
        <v>29</v>
      </c>
      <c r="K82" s="3" t="s">
        <v>30</v>
      </c>
      <c r="L82" s="3" t="s">
        <v>164</v>
      </c>
      <c r="M82" s="3" t="s">
        <v>48</v>
      </c>
      <c r="N82" s="3" t="s">
        <v>111</v>
      </c>
      <c r="O82" s="3" t="s">
        <v>48</v>
      </c>
      <c r="P82" s="2"/>
      <c r="Q82" s="2"/>
    </row>
    <row r="83" spans="1:17" customFormat="1" x14ac:dyDescent="0.25">
      <c r="A83" s="8" t="str">
        <f>_xlfn.CONCAT(VLOOKUP(_xlfn.CONCAT(Table1[[#This Row],[Dimension]],Table1[[#This Row],[Measure]],Table1[[#This Row],[Indicator]]),IndicatorType[],2,FALSE),".00",Table1[[#This Row],[Figure  ]])</f>
        <v>HSN.RSK.PTE.003</v>
      </c>
      <c r="B83" s="4" t="s">
        <v>129</v>
      </c>
      <c r="C83" s="6" t="s">
        <v>130</v>
      </c>
      <c r="D83" s="6" t="s">
        <v>163</v>
      </c>
      <c r="E83" s="6"/>
      <c r="F83" s="6"/>
      <c r="G83" s="6">
        <v>3</v>
      </c>
      <c r="H83" s="3" t="s">
        <v>166</v>
      </c>
      <c r="I83" s="3" t="s">
        <v>454</v>
      </c>
      <c r="J83" s="3" t="s">
        <v>33</v>
      </c>
      <c r="K83" s="3" t="s">
        <v>22</v>
      </c>
      <c r="L83" s="3" t="s">
        <v>167</v>
      </c>
      <c r="M83" s="3" t="s">
        <v>48</v>
      </c>
      <c r="N83" s="3" t="s">
        <v>115</v>
      </c>
      <c r="O83" s="3" t="s">
        <v>48</v>
      </c>
      <c r="P83" s="2"/>
      <c r="Q83" s="2"/>
    </row>
    <row r="84" spans="1:17" customFormat="1" hidden="1" x14ac:dyDescent="0.25">
      <c r="A84" s="8" t="str">
        <f>_xlfn.CONCAT(VLOOKUP(_xlfn.CONCAT(Table1[[#This Row],[Dimension]],Table1[[#This Row],[Measure]],Table1[[#This Row],[Indicator]]),IndicatorType[],2,FALSE),".00",Table1[[#This Row],[Figure  ]])</f>
        <v>HSN.RSK.PTE.004</v>
      </c>
      <c r="B84" s="4" t="s">
        <v>129</v>
      </c>
      <c r="C84" s="6" t="s">
        <v>130</v>
      </c>
      <c r="D84" s="6" t="s">
        <v>163</v>
      </c>
      <c r="E84" s="6"/>
      <c r="F84" s="6"/>
      <c r="G84" s="6">
        <v>4</v>
      </c>
      <c r="H84" s="3" t="s">
        <v>168</v>
      </c>
      <c r="I84" s="3" t="s">
        <v>455</v>
      </c>
      <c r="J84" s="3" t="s">
        <v>29</v>
      </c>
      <c r="K84" s="3" t="s">
        <v>30</v>
      </c>
      <c r="L84" s="3" t="s">
        <v>167</v>
      </c>
      <c r="M84" s="3" t="s">
        <v>48</v>
      </c>
      <c r="N84" s="3" t="s">
        <v>115</v>
      </c>
      <c r="O84" s="3" t="s">
        <v>48</v>
      </c>
      <c r="P84" s="2"/>
      <c r="Q84" s="2"/>
    </row>
    <row r="85" spans="1:17" customFormat="1" hidden="1" x14ac:dyDescent="0.25">
      <c r="A85" s="8" t="str">
        <f>_xlfn.CONCAT(VLOOKUP(_xlfn.CONCAT(Table1[[#This Row],[Dimension]],Table1[[#This Row],[Measure]],Table1[[#This Row],[Indicator]]),IndicatorType[],2,FALSE),".00",Table1[[#This Row],[Figure  ]])</f>
        <v>HSN.RSK.PLW.001</v>
      </c>
      <c r="B85" s="4" t="s">
        <v>129</v>
      </c>
      <c r="C85" s="6" t="s">
        <v>130</v>
      </c>
      <c r="D85" s="6" t="s">
        <v>153</v>
      </c>
      <c r="E85" s="6"/>
      <c r="F85" s="6"/>
      <c r="G85" s="6">
        <v>1</v>
      </c>
      <c r="H85" s="3" t="s">
        <v>153</v>
      </c>
      <c r="I85" s="3" t="s">
        <v>154</v>
      </c>
      <c r="J85" s="3" t="s">
        <v>21</v>
      </c>
      <c r="K85" s="3" t="s">
        <v>22</v>
      </c>
      <c r="L85" s="3" t="s">
        <v>155</v>
      </c>
      <c r="M85" s="3" t="s">
        <v>48</v>
      </c>
      <c r="N85" s="3" t="s">
        <v>111</v>
      </c>
      <c r="O85" s="3" t="s">
        <v>48</v>
      </c>
      <c r="P85" s="2"/>
      <c r="Q85" s="2"/>
    </row>
    <row r="86" spans="1:17" customFormat="1" hidden="1" x14ac:dyDescent="0.25">
      <c r="A86" s="8" t="str">
        <f>_xlfn.CONCAT(VLOOKUP(_xlfn.CONCAT(Table1[[#This Row],[Dimension]],Table1[[#This Row],[Measure]],Table1[[#This Row],[Indicator]]),IndicatorType[],2,FALSE),".00",Table1[[#This Row],[Figure  ]])</f>
        <v>HSN.RSK.PLW.002</v>
      </c>
      <c r="B86" s="4" t="s">
        <v>129</v>
      </c>
      <c r="C86" s="6" t="s">
        <v>130</v>
      </c>
      <c r="D86" s="6" t="s">
        <v>153</v>
      </c>
      <c r="E86" s="6"/>
      <c r="F86" s="6"/>
      <c r="G86" s="6">
        <v>2</v>
      </c>
      <c r="H86" s="3" t="s">
        <v>156</v>
      </c>
      <c r="I86" s="3" t="s">
        <v>157</v>
      </c>
      <c r="J86" s="3" t="s">
        <v>29</v>
      </c>
      <c r="K86" s="3" t="s">
        <v>30</v>
      </c>
      <c r="L86" s="3" t="s">
        <v>155</v>
      </c>
      <c r="M86" s="3" t="s">
        <v>48</v>
      </c>
      <c r="N86" s="3" t="s">
        <v>111</v>
      </c>
      <c r="O86" s="3" t="s">
        <v>48</v>
      </c>
      <c r="P86" s="2"/>
      <c r="Q86" s="2"/>
    </row>
    <row r="87" spans="1:17" customFormat="1" x14ac:dyDescent="0.25">
      <c r="A87" s="8" t="str">
        <f>_xlfn.CONCAT(VLOOKUP(_xlfn.CONCAT(Table1[[#This Row],[Dimension]],Table1[[#This Row],[Measure]],Table1[[#This Row],[Indicator]]),IndicatorType[],2,FALSE),".00",Table1[[#This Row],[Figure  ]])</f>
        <v>HSN.RSK.PLW.003</v>
      </c>
      <c r="B87" s="4" t="s">
        <v>129</v>
      </c>
      <c r="C87" s="6" t="s">
        <v>130</v>
      </c>
      <c r="D87" s="6" t="s">
        <v>153</v>
      </c>
      <c r="E87" s="6"/>
      <c r="F87" s="6"/>
      <c r="G87" s="6">
        <v>3</v>
      </c>
      <c r="H87" s="3" t="s">
        <v>158</v>
      </c>
      <c r="I87" s="3" t="s">
        <v>159</v>
      </c>
      <c r="J87" s="3" t="s">
        <v>33</v>
      </c>
      <c r="K87" s="3" t="s">
        <v>22</v>
      </c>
      <c r="L87" s="3" t="s">
        <v>160</v>
      </c>
      <c r="M87" s="3" t="s">
        <v>48</v>
      </c>
      <c r="N87" s="3" t="s">
        <v>115</v>
      </c>
      <c r="O87" s="3" t="s">
        <v>48</v>
      </c>
      <c r="P87" s="2"/>
      <c r="Q87" s="2"/>
    </row>
    <row r="88" spans="1:17" customFormat="1" hidden="1" x14ac:dyDescent="0.25">
      <c r="A88" s="8" t="str">
        <f>_xlfn.CONCAT(VLOOKUP(_xlfn.CONCAT(Table1[[#This Row],[Dimension]],Table1[[#This Row],[Measure]],Table1[[#This Row],[Indicator]]),IndicatorType[],2,FALSE),".00",Table1[[#This Row],[Figure  ]])</f>
        <v>HSN.RSK.PLW.004</v>
      </c>
      <c r="B88" s="4" t="s">
        <v>129</v>
      </c>
      <c r="C88" s="6" t="s">
        <v>130</v>
      </c>
      <c r="D88" s="6" t="s">
        <v>153</v>
      </c>
      <c r="E88" s="6"/>
      <c r="F88" s="6"/>
      <c r="G88" s="6">
        <v>4</v>
      </c>
      <c r="H88" s="3" t="s">
        <v>161</v>
      </c>
      <c r="I88" s="3" t="s">
        <v>162</v>
      </c>
      <c r="J88" s="3" t="s">
        <v>29</v>
      </c>
      <c r="K88" s="3" t="s">
        <v>30</v>
      </c>
      <c r="L88" s="3" t="s">
        <v>160</v>
      </c>
      <c r="M88" s="3" t="s">
        <v>48</v>
      </c>
      <c r="N88" s="3" t="s">
        <v>115</v>
      </c>
      <c r="O88" s="3" t="s">
        <v>48</v>
      </c>
      <c r="P88" s="2"/>
      <c r="Q88" s="2"/>
    </row>
    <row r="89" spans="1:17" customFormat="1" hidden="1" x14ac:dyDescent="0.25">
      <c r="A89" s="8" t="str">
        <f>_xlfn.CONCAT(VLOOKUP(_xlfn.CONCAT(Table1[[#This Row],[Dimension]],Table1[[#This Row],[Measure]],Table1[[#This Row],[Indicator]]),IndicatorType[],2,FALSE),".00",Table1[[#This Row],[Figure  ]])</f>
        <v>HSN.CHL.CAN.001</v>
      </c>
      <c r="B89" s="4" t="s">
        <v>129</v>
      </c>
      <c r="C89" s="6" t="s">
        <v>228</v>
      </c>
      <c r="D89" s="6" t="s">
        <v>463</v>
      </c>
      <c r="E89" s="15" t="s">
        <v>229</v>
      </c>
      <c r="F89" s="15" t="s">
        <v>230</v>
      </c>
      <c r="G89" s="6">
        <v>1</v>
      </c>
      <c r="H89" s="3" t="s">
        <v>464</v>
      </c>
      <c r="I89" s="3" t="s">
        <v>513</v>
      </c>
      <c r="J89" s="3" t="s">
        <v>21</v>
      </c>
      <c r="K89" s="3" t="s">
        <v>22</v>
      </c>
      <c r="L89" s="3" t="s">
        <v>231</v>
      </c>
      <c r="M89" s="3" t="s">
        <v>232</v>
      </c>
      <c r="N89" s="3" t="s">
        <v>514</v>
      </c>
      <c r="O89" s="3" t="s">
        <v>26</v>
      </c>
      <c r="P89" s="2"/>
      <c r="Q89" s="2"/>
    </row>
    <row r="90" spans="1:17" customFormat="1" hidden="1" x14ac:dyDescent="0.25">
      <c r="A90" s="8" t="str">
        <f>_xlfn.CONCAT(VLOOKUP(_xlfn.CONCAT(Table1[[#This Row],[Dimension]],Table1[[#This Row],[Measure]],Table1[[#This Row],[Indicator]]),IndicatorType[],2,FALSE),".00",Table1[[#This Row],[Figure  ]])</f>
        <v>HSN.CHL.CAN.002</v>
      </c>
      <c r="B90" s="4" t="s">
        <v>129</v>
      </c>
      <c r="C90" s="6" t="s">
        <v>228</v>
      </c>
      <c r="D90" s="6" t="s">
        <v>463</v>
      </c>
      <c r="E90" s="15" t="s">
        <v>229</v>
      </c>
      <c r="F90" s="15" t="s">
        <v>230</v>
      </c>
      <c r="G90" s="6">
        <v>2</v>
      </c>
      <c r="H90" s="3" t="s">
        <v>521</v>
      </c>
      <c r="I90" s="3" t="s">
        <v>515</v>
      </c>
      <c r="J90" s="3" t="s">
        <v>29</v>
      </c>
      <c r="K90" s="3" t="s">
        <v>30</v>
      </c>
      <c r="L90" s="3" t="s">
        <v>231</v>
      </c>
      <c r="M90" s="3" t="s">
        <v>232</v>
      </c>
      <c r="N90" s="3" t="s">
        <v>514</v>
      </c>
      <c r="O90" s="3" t="s">
        <v>26</v>
      </c>
      <c r="P90" s="2"/>
      <c r="Q90" s="2"/>
    </row>
    <row r="91" spans="1:17" customFormat="1" x14ac:dyDescent="0.25">
      <c r="A91" s="8" t="str">
        <f>_xlfn.CONCAT(VLOOKUP(_xlfn.CONCAT(Table1[[#This Row],[Dimension]],Table1[[#This Row],[Measure]],Table1[[#This Row],[Indicator]]),IndicatorType[],2,FALSE),".00",Table1[[#This Row],[Figure  ]])</f>
        <v>HSN.CHL.CAN.003</v>
      </c>
      <c r="B91" s="4" t="s">
        <v>129</v>
      </c>
      <c r="C91" s="6" t="s">
        <v>228</v>
      </c>
      <c r="D91" s="6" t="s">
        <v>463</v>
      </c>
      <c r="E91" s="15" t="s">
        <v>233</v>
      </c>
      <c r="F91" s="15" t="s">
        <v>234</v>
      </c>
      <c r="G91" s="6">
        <v>3</v>
      </c>
      <c r="H91" s="3" t="s">
        <v>235</v>
      </c>
      <c r="I91" s="3" t="s">
        <v>516</v>
      </c>
      <c r="J91" s="3" t="s">
        <v>33</v>
      </c>
      <c r="K91" s="3" t="s">
        <v>226</v>
      </c>
      <c r="L91" s="3" t="s">
        <v>517</v>
      </c>
      <c r="M91" s="3" t="s">
        <v>232</v>
      </c>
      <c r="N91" s="3" t="s">
        <v>518</v>
      </c>
      <c r="O91" s="3" t="s">
        <v>232</v>
      </c>
      <c r="P91" s="2"/>
      <c r="Q91" s="2"/>
    </row>
    <row r="92" spans="1:17" customFormat="1" hidden="1" x14ac:dyDescent="0.25">
      <c r="A92" s="8" t="str">
        <f>_xlfn.CONCAT(VLOOKUP(_xlfn.CONCAT(Table1[[#This Row],[Dimension]],Table1[[#This Row],[Measure]],Table1[[#This Row],[Indicator]]),IndicatorType[],2,FALSE),".00",Table1[[#This Row],[Figure  ]])</f>
        <v>HSN.CHL.CAN.004</v>
      </c>
      <c r="B92" s="4" t="s">
        <v>129</v>
      </c>
      <c r="C92" s="6" t="s">
        <v>228</v>
      </c>
      <c r="D92" s="6" t="s">
        <v>463</v>
      </c>
      <c r="E92" s="15" t="s">
        <v>233</v>
      </c>
      <c r="F92" s="15" t="s">
        <v>236</v>
      </c>
      <c r="G92" s="6">
        <v>4</v>
      </c>
      <c r="H92" s="3" t="s">
        <v>465</v>
      </c>
      <c r="I92" s="3" t="s">
        <v>519</v>
      </c>
      <c r="J92" s="3" t="s">
        <v>33</v>
      </c>
      <c r="K92" s="3" t="s">
        <v>226</v>
      </c>
      <c r="L92" s="3" t="s">
        <v>520</v>
      </c>
      <c r="M92" s="3" t="s">
        <v>232</v>
      </c>
      <c r="N92" s="3" t="s">
        <v>518</v>
      </c>
      <c r="O92" s="3" t="s">
        <v>232</v>
      </c>
      <c r="P92" s="2"/>
      <c r="Q92" s="2"/>
    </row>
    <row r="93" spans="1:17" customFormat="1" hidden="1" x14ac:dyDescent="0.25">
      <c r="A93" s="8" t="str">
        <f>_xlfn.CONCAT(VLOOKUP(_xlfn.CONCAT(Table1[[#This Row],[Dimension]],Table1[[#This Row],[Measure]],Table1[[#This Row],[Indicator]]),IndicatorType[],2,FALSE),".00",Table1[[#This Row],[Figure  ]])</f>
        <v>HSN.CHL.IMM.001</v>
      </c>
      <c r="B93" s="4" t="s">
        <v>129</v>
      </c>
      <c r="C93" s="6" t="s">
        <v>228</v>
      </c>
      <c r="D93" s="6" t="s">
        <v>210</v>
      </c>
      <c r="E93" s="6" t="s">
        <v>599</v>
      </c>
      <c r="F93" s="6"/>
      <c r="G93" s="6">
        <v>1</v>
      </c>
      <c r="H93" s="3" t="s">
        <v>211</v>
      </c>
      <c r="I93" s="3" t="s">
        <v>456</v>
      </c>
      <c r="J93" s="3" t="s">
        <v>21</v>
      </c>
      <c r="K93" s="3" t="s">
        <v>22</v>
      </c>
      <c r="L93" s="3" t="s">
        <v>212</v>
      </c>
      <c r="M93" s="3" t="s">
        <v>39</v>
      </c>
      <c r="N93" s="3" t="s">
        <v>213</v>
      </c>
      <c r="O93" s="3" t="s">
        <v>39</v>
      </c>
      <c r="P93" s="2"/>
      <c r="Q93" s="2"/>
    </row>
    <row r="94" spans="1:17" customFormat="1" hidden="1" x14ac:dyDescent="0.25">
      <c r="A94" s="8" t="str">
        <f>_xlfn.CONCAT(VLOOKUP(_xlfn.CONCAT(Table1[[#This Row],[Dimension]],Table1[[#This Row],[Measure]],Table1[[#This Row],[Indicator]]),IndicatorType[],2,FALSE),".00",Table1[[#This Row],[Figure  ]])</f>
        <v>HSN.CHL.IMM.001</v>
      </c>
      <c r="B94" s="4" t="s">
        <v>129</v>
      </c>
      <c r="C94" s="6" t="s">
        <v>228</v>
      </c>
      <c r="D94" s="6" t="s">
        <v>210</v>
      </c>
      <c r="E94" s="6" t="s">
        <v>215</v>
      </c>
      <c r="F94" s="6"/>
      <c r="G94" s="6">
        <v>1</v>
      </c>
      <c r="H94" s="3" t="s">
        <v>216</v>
      </c>
      <c r="I94" s="3" t="s">
        <v>458</v>
      </c>
      <c r="J94" s="3" t="s">
        <v>21</v>
      </c>
      <c r="K94" s="3" t="s">
        <v>22</v>
      </c>
      <c r="L94" s="3" t="s">
        <v>217</v>
      </c>
      <c r="M94" s="3" t="s">
        <v>39</v>
      </c>
      <c r="N94" s="3" t="s">
        <v>218</v>
      </c>
      <c r="O94" s="3" t="s">
        <v>39</v>
      </c>
      <c r="P94" s="2"/>
      <c r="Q94" s="2"/>
    </row>
    <row r="95" spans="1:17" customFormat="1" hidden="1" x14ac:dyDescent="0.25">
      <c r="A95" s="8" t="str">
        <f>_xlfn.CONCAT(VLOOKUP(_xlfn.CONCAT(Table1[[#This Row],[Dimension]],Table1[[#This Row],[Measure]],Table1[[#This Row],[Indicator]]),IndicatorType[],2,FALSE),".00",Table1[[#This Row],[Figure  ]])</f>
        <v>HSN.CHL.IMM.001</v>
      </c>
      <c r="B95" s="4" t="s">
        <v>129</v>
      </c>
      <c r="C95" s="6" t="s">
        <v>228</v>
      </c>
      <c r="D95" s="6" t="s">
        <v>210</v>
      </c>
      <c r="E95" s="6" t="s">
        <v>220</v>
      </c>
      <c r="F95" s="6"/>
      <c r="G95" s="11">
        <v>1</v>
      </c>
      <c r="H95" s="3" t="s">
        <v>225</v>
      </c>
      <c r="I95" s="3" t="s">
        <v>462</v>
      </c>
      <c r="J95" s="3" t="s">
        <v>21</v>
      </c>
      <c r="K95" s="3" t="s">
        <v>226</v>
      </c>
      <c r="L95" s="3" t="s">
        <v>227</v>
      </c>
      <c r="M95" s="3" t="s">
        <v>39</v>
      </c>
      <c r="N95" s="28" t="s">
        <v>602</v>
      </c>
      <c r="O95" s="3" t="s">
        <v>39</v>
      </c>
      <c r="P95" s="2"/>
      <c r="Q95" s="2"/>
    </row>
    <row r="96" spans="1:17" customFormat="1" hidden="1" x14ac:dyDescent="0.25">
      <c r="A96" s="8" t="str">
        <f>_xlfn.CONCAT(VLOOKUP(_xlfn.CONCAT(Table1[[#This Row],[Dimension]],Table1[[#This Row],[Measure]],Table1[[#This Row],[Indicator]]),IndicatorType[],2,FALSE),".00",Table1[[#This Row],[Figure  ]])</f>
        <v>HSN.CHL.IMM.002</v>
      </c>
      <c r="B96" s="4" t="s">
        <v>129</v>
      </c>
      <c r="C96" s="6" t="s">
        <v>228</v>
      </c>
      <c r="D96" s="6" t="s">
        <v>210</v>
      </c>
      <c r="E96" s="6" t="s">
        <v>599</v>
      </c>
      <c r="F96" s="6"/>
      <c r="G96" s="11">
        <v>2</v>
      </c>
      <c r="H96" s="3" t="s">
        <v>214</v>
      </c>
      <c r="I96" s="3" t="s">
        <v>457</v>
      </c>
      <c r="J96" s="3" t="s">
        <v>29</v>
      </c>
      <c r="K96" s="3" t="s">
        <v>30</v>
      </c>
      <c r="L96" s="3" t="s">
        <v>212</v>
      </c>
      <c r="M96" s="3" t="s">
        <v>39</v>
      </c>
      <c r="N96" s="3" t="s">
        <v>213</v>
      </c>
      <c r="O96" s="3" t="s">
        <v>39</v>
      </c>
      <c r="P96" s="2"/>
      <c r="Q96" s="2"/>
    </row>
    <row r="97" spans="1:17" customFormat="1" hidden="1" x14ac:dyDescent="0.25">
      <c r="A97" s="8" t="str">
        <f>_xlfn.CONCAT(VLOOKUP(_xlfn.CONCAT(Table1[[#This Row],[Dimension]],Table1[[#This Row],[Measure]],Table1[[#This Row],[Indicator]]),IndicatorType[],2,FALSE),".00",Table1[[#This Row],[Figure  ]])</f>
        <v>HSN.CHL.IMM.002</v>
      </c>
      <c r="B97" s="4" t="s">
        <v>129</v>
      </c>
      <c r="C97" s="6" t="s">
        <v>228</v>
      </c>
      <c r="D97" s="6" t="s">
        <v>210</v>
      </c>
      <c r="E97" s="6" t="s">
        <v>215</v>
      </c>
      <c r="F97" s="6"/>
      <c r="G97" s="6">
        <v>2</v>
      </c>
      <c r="H97" s="3" t="s">
        <v>219</v>
      </c>
      <c r="I97" s="3" t="s">
        <v>459</v>
      </c>
      <c r="J97" s="3" t="s">
        <v>29</v>
      </c>
      <c r="K97" s="3" t="s">
        <v>30</v>
      </c>
      <c r="L97" s="3" t="s">
        <v>217</v>
      </c>
      <c r="M97" s="3" t="s">
        <v>39</v>
      </c>
      <c r="N97" s="3" t="s">
        <v>218</v>
      </c>
      <c r="O97" s="3" t="s">
        <v>39</v>
      </c>
      <c r="P97" s="2"/>
      <c r="Q97" s="2"/>
    </row>
    <row r="98" spans="1:17" customFormat="1" hidden="1" x14ac:dyDescent="0.25">
      <c r="A98" s="8" t="str">
        <f>_xlfn.CONCAT(VLOOKUP(_xlfn.CONCAT(Table1[[#This Row],[Dimension]],Table1[[#This Row],[Measure]],Table1[[#This Row],[Indicator]]),IndicatorType[],2,FALSE),".00",Table1[[#This Row],[Figure  ]])</f>
        <v>HSN.CHL.IMM.002</v>
      </c>
      <c r="B98" s="4" t="s">
        <v>129</v>
      </c>
      <c r="C98" s="6" t="s">
        <v>228</v>
      </c>
      <c r="D98" s="6" t="s">
        <v>210</v>
      </c>
      <c r="E98" s="6" t="s">
        <v>220</v>
      </c>
      <c r="F98" s="6"/>
      <c r="G98" s="6">
        <v>2</v>
      </c>
      <c r="H98" s="3" t="s">
        <v>221</v>
      </c>
      <c r="I98" s="3" t="s">
        <v>460</v>
      </c>
      <c r="J98" s="3" t="s">
        <v>29</v>
      </c>
      <c r="K98" s="3" t="s">
        <v>30</v>
      </c>
      <c r="L98" s="3" t="s">
        <v>222</v>
      </c>
      <c r="M98" s="3" t="s">
        <v>39</v>
      </c>
      <c r="N98" s="3" t="s">
        <v>223</v>
      </c>
      <c r="O98" s="3" t="s">
        <v>39</v>
      </c>
      <c r="P98" s="2"/>
      <c r="Q98" s="2"/>
    </row>
    <row r="99" spans="1:17" s="30" customFormat="1" x14ac:dyDescent="0.25">
      <c r="A99" s="26" t="str">
        <f>_xlfn.CONCAT(VLOOKUP(_xlfn.CONCAT(Table1[[#This Row],[Dimension]],Table1[[#This Row],[Measure]],Table1[[#This Row],[Indicator]]),IndicatorType[],2,FALSE),".00",Table1[[#This Row],[Figure  ]])</f>
        <v>HSN.CHL.IMM.003</v>
      </c>
      <c r="B99" s="27" t="s">
        <v>129</v>
      </c>
      <c r="C99" s="15" t="s">
        <v>228</v>
      </c>
      <c r="D99" s="15" t="s">
        <v>210</v>
      </c>
      <c r="E99" s="15" t="s">
        <v>599</v>
      </c>
      <c r="F99" s="15"/>
      <c r="G99" s="15">
        <v>3</v>
      </c>
      <c r="H99" s="28" t="s">
        <v>600</v>
      </c>
      <c r="I99" s="28" t="s">
        <v>601</v>
      </c>
      <c r="J99" s="28" t="s">
        <v>33</v>
      </c>
      <c r="K99" s="29" t="s">
        <v>226</v>
      </c>
      <c r="L99" s="28" t="s">
        <v>602</v>
      </c>
      <c r="M99" s="29" t="s">
        <v>39</v>
      </c>
      <c r="N99" s="28" t="s">
        <v>602</v>
      </c>
      <c r="O99" s="29" t="s">
        <v>39</v>
      </c>
      <c r="P99" s="28"/>
      <c r="Q99" s="28"/>
    </row>
    <row r="100" spans="1:17" s="30" customFormat="1" x14ac:dyDescent="0.25">
      <c r="A100" s="26" t="str">
        <f>_xlfn.CONCAT(VLOOKUP(_xlfn.CONCAT(Table1[[#This Row],[Dimension]],Table1[[#This Row],[Measure]],Table1[[#This Row],[Indicator]]),IndicatorType[],2,FALSE),".00",Table1[[#This Row],[Figure  ]])</f>
        <v>HSN.CHL.IMM.003</v>
      </c>
      <c r="B100" s="27" t="s">
        <v>129</v>
      </c>
      <c r="C100" s="15" t="s">
        <v>228</v>
      </c>
      <c r="D100" s="15" t="s">
        <v>210</v>
      </c>
      <c r="E100" s="15" t="s">
        <v>215</v>
      </c>
      <c r="F100" s="15"/>
      <c r="G100" s="15">
        <v>3</v>
      </c>
      <c r="H100" s="28" t="s">
        <v>600</v>
      </c>
      <c r="I100" s="28" t="s">
        <v>601</v>
      </c>
      <c r="J100" s="28" t="s">
        <v>33</v>
      </c>
      <c r="K100" s="29" t="s">
        <v>226</v>
      </c>
      <c r="L100" s="28" t="s">
        <v>602</v>
      </c>
      <c r="M100" s="29" t="s">
        <v>39</v>
      </c>
      <c r="N100" s="28" t="s">
        <v>602</v>
      </c>
      <c r="O100" s="29" t="s">
        <v>39</v>
      </c>
      <c r="P100" s="28"/>
      <c r="Q100" s="28"/>
    </row>
    <row r="101" spans="1:17" customFormat="1" x14ac:dyDescent="0.25">
      <c r="A101" s="8" t="str">
        <f>_xlfn.CONCAT(VLOOKUP(_xlfn.CONCAT(Table1[[#This Row],[Dimension]],Table1[[#This Row],[Measure]],Table1[[#This Row],[Indicator]]),IndicatorType[],2,FALSE),".00",Table1[[#This Row],[Figure  ]])</f>
        <v>HSN.CHL.IMM.003</v>
      </c>
      <c r="B101" s="4" t="s">
        <v>129</v>
      </c>
      <c r="C101" s="6" t="s">
        <v>228</v>
      </c>
      <c r="D101" s="6" t="s">
        <v>210</v>
      </c>
      <c r="E101" s="6" t="s">
        <v>220</v>
      </c>
      <c r="F101" s="6"/>
      <c r="G101" s="6">
        <v>3</v>
      </c>
      <c r="H101" s="3" t="s">
        <v>224</v>
      </c>
      <c r="I101" s="3" t="s">
        <v>461</v>
      </c>
      <c r="J101" s="3" t="s">
        <v>33</v>
      </c>
      <c r="K101" s="3" t="s">
        <v>226</v>
      </c>
      <c r="L101" s="3" t="s">
        <v>222</v>
      </c>
      <c r="M101" s="3" t="s">
        <v>39</v>
      </c>
      <c r="N101" s="3" t="s">
        <v>223</v>
      </c>
      <c r="O101" s="3" t="s">
        <v>39</v>
      </c>
      <c r="P101" s="2"/>
      <c r="Q101" s="2"/>
    </row>
    <row r="102" spans="1:17" customFormat="1" hidden="1" x14ac:dyDescent="0.25">
      <c r="A102" s="8" t="str">
        <f>_xlfn.CONCAT(VLOOKUP(_xlfn.CONCAT(Table1[[#This Row],[Dimension]],Table1[[#This Row],[Measure]],Table1[[#This Row],[Indicator]]),IndicatorType[],2,FALSE),".00",Table1[[#This Row],[Figure  ]])</f>
        <v>HSN.CRM.ADR.001</v>
      </c>
      <c r="B102" s="4" t="s">
        <v>129</v>
      </c>
      <c r="C102" s="6" t="s">
        <v>283</v>
      </c>
      <c r="D102" s="6" t="s">
        <v>292</v>
      </c>
      <c r="E102" s="15" t="s">
        <v>293</v>
      </c>
      <c r="F102" s="15" t="s">
        <v>230</v>
      </c>
      <c r="G102" s="6">
        <v>1</v>
      </c>
      <c r="H102" s="3" t="s">
        <v>294</v>
      </c>
      <c r="I102" s="3" t="s">
        <v>295</v>
      </c>
      <c r="J102" s="3" t="s">
        <v>21</v>
      </c>
      <c r="K102" s="3" t="s">
        <v>22</v>
      </c>
      <c r="L102" s="3" t="s">
        <v>296</v>
      </c>
      <c r="M102" s="3" t="s">
        <v>288</v>
      </c>
      <c r="N102" s="3" t="s">
        <v>297</v>
      </c>
      <c r="O102" s="3" t="s">
        <v>24</v>
      </c>
      <c r="P102" s="2"/>
      <c r="Q102" s="2"/>
    </row>
    <row r="103" spans="1:17" customFormat="1" hidden="1" x14ac:dyDescent="0.25">
      <c r="A103" s="8" t="str">
        <f>_xlfn.CONCAT(VLOOKUP(_xlfn.CONCAT(Table1[[#This Row],[Dimension]],Table1[[#This Row],[Measure]],Table1[[#This Row],[Indicator]]),IndicatorType[],2,FALSE),".00",Table1[[#This Row],[Figure  ]])</f>
        <v>HSN.CRM.ADR.002</v>
      </c>
      <c r="B103" s="4" t="s">
        <v>129</v>
      </c>
      <c r="C103" s="6" t="s">
        <v>283</v>
      </c>
      <c r="D103" s="6" t="s">
        <v>292</v>
      </c>
      <c r="E103" s="15" t="s">
        <v>293</v>
      </c>
      <c r="F103" s="15" t="s">
        <v>230</v>
      </c>
      <c r="G103" s="6">
        <v>2</v>
      </c>
      <c r="H103" s="3" t="s">
        <v>298</v>
      </c>
      <c r="I103" s="3" t="s">
        <v>299</v>
      </c>
      <c r="J103" s="3" t="s">
        <v>29</v>
      </c>
      <c r="K103" s="3" t="s">
        <v>30</v>
      </c>
      <c r="L103" s="3" t="s">
        <v>296</v>
      </c>
      <c r="M103" s="3" t="s">
        <v>288</v>
      </c>
      <c r="N103" s="3" t="s">
        <v>297</v>
      </c>
      <c r="O103" s="3" t="s">
        <v>24</v>
      </c>
      <c r="P103" s="2"/>
      <c r="Q103" s="2"/>
    </row>
    <row r="104" spans="1:17" customFormat="1" x14ac:dyDescent="0.25">
      <c r="A104" s="8" t="str">
        <f>_xlfn.CONCAT(VLOOKUP(_xlfn.CONCAT(Table1[[#This Row],[Dimension]],Table1[[#This Row],[Measure]],Table1[[#This Row],[Indicator]]),IndicatorType[],2,FALSE),".00",Table1[[#This Row],[Figure  ]])</f>
        <v>HSN.CRM.ADR.003</v>
      </c>
      <c r="B104" s="4" t="s">
        <v>129</v>
      </c>
      <c r="C104" s="6" t="s">
        <v>283</v>
      </c>
      <c r="D104" s="6" t="s">
        <v>292</v>
      </c>
      <c r="E104" s="15" t="s">
        <v>293</v>
      </c>
      <c r="F104" s="15" t="s">
        <v>230</v>
      </c>
      <c r="G104" s="6">
        <v>3</v>
      </c>
      <c r="H104" s="3" t="s">
        <v>300</v>
      </c>
      <c r="I104" s="3" t="s">
        <v>301</v>
      </c>
      <c r="J104" s="3" t="s">
        <v>33</v>
      </c>
      <c r="K104" s="3" t="s">
        <v>226</v>
      </c>
      <c r="L104" s="3" t="s">
        <v>296</v>
      </c>
      <c r="M104" s="3" t="s">
        <v>288</v>
      </c>
      <c r="N104" s="3" t="s">
        <v>297</v>
      </c>
      <c r="O104" s="3" t="s">
        <v>24</v>
      </c>
      <c r="P104" s="2"/>
      <c r="Q104" s="2"/>
    </row>
    <row r="105" spans="1:17" customFormat="1" hidden="1" x14ac:dyDescent="0.25">
      <c r="A105" s="8" t="str">
        <f>_xlfn.CONCAT(VLOOKUP(_xlfn.CONCAT(Table1[[#This Row],[Dimension]],Table1[[#This Row],[Measure]],Table1[[#This Row],[Indicator]]),IndicatorType[],2,FALSE),".00",Table1[[#This Row],[Figure  ]])</f>
        <v>HSN.CRM.ARR.001</v>
      </c>
      <c r="B105" s="4" t="s">
        <v>129</v>
      </c>
      <c r="C105" s="6" t="s">
        <v>283</v>
      </c>
      <c r="D105" s="6" t="s">
        <v>479</v>
      </c>
      <c r="E105" s="15" t="s">
        <v>293</v>
      </c>
      <c r="F105" s="15" t="s">
        <v>230</v>
      </c>
      <c r="G105" s="6">
        <v>1</v>
      </c>
      <c r="H105" s="3" t="s">
        <v>302</v>
      </c>
      <c r="I105" s="3" t="s">
        <v>303</v>
      </c>
      <c r="J105" s="3" t="s">
        <v>21</v>
      </c>
      <c r="K105" s="3" t="s">
        <v>22</v>
      </c>
      <c r="L105" s="3" t="s">
        <v>304</v>
      </c>
      <c r="M105" s="3" t="s">
        <v>288</v>
      </c>
      <c r="N105" s="3" t="s">
        <v>297</v>
      </c>
      <c r="O105" s="3" t="s">
        <v>24</v>
      </c>
      <c r="P105" s="2"/>
      <c r="Q105" s="2"/>
    </row>
    <row r="106" spans="1:17" customFormat="1" hidden="1" x14ac:dyDescent="0.25">
      <c r="A106" s="8" t="str">
        <f>_xlfn.CONCAT(VLOOKUP(_xlfn.CONCAT(Table1[[#This Row],[Dimension]],Table1[[#This Row],[Measure]],Table1[[#This Row],[Indicator]]),IndicatorType[],2,FALSE),".00",Table1[[#This Row],[Figure  ]])</f>
        <v>HSN.CRM.ARR.002</v>
      </c>
      <c r="B106" s="4" t="s">
        <v>129</v>
      </c>
      <c r="C106" s="6" t="s">
        <v>283</v>
      </c>
      <c r="D106" s="6" t="s">
        <v>479</v>
      </c>
      <c r="E106" s="15" t="s">
        <v>293</v>
      </c>
      <c r="F106" s="15" t="s">
        <v>230</v>
      </c>
      <c r="G106" s="6">
        <v>2</v>
      </c>
      <c r="H106" s="3" t="s">
        <v>305</v>
      </c>
      <c r="I106" s="3" t="s">
        <v>303</v>
      </c>
      <c r="J106" s="3" t="s">
        <v>29</v>
      </c>
      <c r="K106" s="3" t="s">
        <v>30</v>
      </c>
      <c r="L106" s="3" t="s">
        <v>304</v>
      </c>
      <c r="M106" s="3" t="s">
        <v>288</v>
      </c>
      <c r="N106" s="3" t="s">
        <v>297</v>
      </c>
      <c r="O106" s="3" t="s">
        <v>24</v>
      </c>
      <c r="P106" s="2"/>
      <c r="Q106" s="2"/>
    </row>
    <row r="107" spans="1:17" customFormat="1" x14ac:dyDescent="0.25">
      <c r="A107" s="8" t="str">
        <f>_xlfn.CONCAT(VLOOKUP(_xlfn.CONCAT(Table1[[#This Row],[Dimension]],Table1[[#This Row],[Measure]],Table1[[#This Row],[Indicator]]),IndicatorType[],2,FALSE),".00",Table1[[#This Row],[Figure  ]])</f>
        <v>HSN.CRM.ARR.003</v>
      </c>
      <c r="B107" s="4" t="s">
        <v>129</v>
      </c>
      <c r="C107" s="6" t="s">
        <v>283</v>
      </c>
      <c r="D107" s="6" t="s">
        <v>479</v>
      </c>
      <c r="E107" s="15" t="s">
        <v>293</v>
      </c>
      <c r="F107" s="15" t="s">
        <v>230</v>
      </c>
      <c r="G107" s="6">
        <v>3</v>
      </c>
      <c r="H107" s="3" t="s">
        <v>306</v>
      </c>
      <c r="I107" s="3" t="s">
        <v>307</v>
      </c>
      <c r="J107" s="3" t="s">
        <v>33</v>
      </c>
      <c r="K107" s="3" t="s">
        <v>226</v>
      </c>
      <c r="L107" s="3" t="s">
        <v>304</v>
      </c>
      <c r="M107" s="3" t="s">
        <v>288</v>
      </c>
      <c r="N107" s="3" t="s">
        <v>297</v>
      </c>
      <c r="O107" s="3" t="s">
        <v>24</v>
      </c>
      <c r="P107" s="2"/>
      <c r="Q107" s="2"/>
    </row>
    <row r="108" spans="1:17" customFormat="1" hidden="1" x14ac:dyDescent="0.25">
      <c r="A108" s="8" t="str">
        <f>_xlfn.CONCAT(VLOOKUP(_xlfn.CONCAT(Table1[[#This Row],[Dimension]],Table1[[#This Row],[Measure]],Table1[[#This Row],[Indicator]]),IndicatorType[],2,FALSE),".00",Table1[[#This Row],[Figure  ]])</f>
        <v>HSN.CRM.ARR.004</v>
      </c>
      <c r="B108" s="4" t="s">
        <v>129</v>
      </c>
      <c r="C108" s="6" t="s">
        <v>283</v>
      </c>
      <c r="D108" s="6" t="s">
        <v>479</v>
      </c>
      <c r="E108" s="15" t="s">
        <v>293</v>
      </c>
      <c r="F108" s="15" t="s">
        <v>308</v>
      </c>
      <c r="G108" s="6">
        <v>4</v>
      </c>
      <c r="H108" s="3" t="s">
        <v>309</v>
      </c>
      <c r="I108" s="3" t="s">
        <v>310</v>
      </c>
      <c r="J108" s="3" t="s">
        <v>33</v>
      </c>
      <c r="K108" s="3" t="s">
        <v>226</v>
      </c>
      <c r="L108" s="3" t="s">
        <v>311</v>
      </c>
      <c r="M108" s="3" t="s">
        <v>288</v>
      </c>
      <c r="N108" s="3" t="s">
        <v>297</v>
      </c>
      <c r="O108" s="3" t="s">
        <v>24</v>
      </c>
      <c r="P108" s="2"/>
      <c r="Q108" s="2"/>
    </row>
    <row r="109" spans="1:17" customFormat="1" hidden="1" x14ac:dyDescent="0.25">
      <c r="A109" s="8" t="str">
        <f>_xlfn.CONCAT(VLOOKUP(_xlfn.CONCAT(Table1[[#This Row],[Dimension]],Table1[[#This Row],[Measure]],Table1[[#This Row],[Indicator]]),IndicatorType[],2,FALSE),".00",Table1[[#This Row],[Figure  ]])</f>
        <v>HSN.CRM.DMV.001</v>
      </c>
      <c r="B109" s="4" t="s">
        <v>129</v>
      </c>
      <c r="C109" s="6" t="s">
        <v>283</v>
      </c>
      <c r="D109" s="6" t="s">
        <v>493</v>
      </c>
      <c r="E109" s="6" t="s">
        <v>493</v>
      </c>
      <c r="F109" s="15" t="s">
        <v>230</v>
      </c>
      <c r="G109" s="6">
        <v>1</v>
      </c>
      <c r="H109" s="2" t="s">
        <v>494</v>
      </c>
      <c r="I109" s="2" t="s">
        <v>495</v>
      </c>
      <c r="J109" s="2" t="s">
        <v>21</v>
      </c>
      <c r="K109" s="2" t="s">
        <v>22</v>
      </c>
      <c r="L109" s="2" t="s">
        <v>496</v>
      </c>
      <c r="M109" s="2" t="s">
        <v>288</v>
      </c>
      <c r="N109" s="2" t="s">
        <v>289</v>
      </c>
      <c r="O109" s="2" t="s">
        <v>24</v>
      </c>
      <c r="P109" s="2"/>
      <c r="Q109" s="2"/>
    </row>
    <row r="110" spans="1:17" customFormat="1" hidden="1" x14ac:dyDescent="0.25">
      <c r="A110" s="8" t="str">
        <f>_xlfn.CONCAT(VLOOKUP(_xlfn.CONCAT(Table1[[#This Row],[Dimension]],Table1[[#This Row],[Measure]],Table1[[#This Row],[Indicator]]),IndicatorType[],2,FALSE),".00",Table1[[#This Row],[Figure  ]])</f>
        <v>HSN.CRM.DMV.001</v>
      </c>
      <c r="B110" s="4" t="s">
        <v>129</v>
      </c>
      <c r="C110" s="6" t="s">
        <v>283</v>
      </c>
      <c r="D110" s="6" t="s">
        <v>493</v>
      </c>
      <c r="E110" s="6" t="s">
        <v>504</v>
      </c>
      <c r="F110" s="15" t="s">
        <v>505</v>
      </c>
      <c r="G110" s="6">
        <v>1</v>
      </c>
      <c r="H110" s="2" t="s">
        <v>506</v>
      </c>
      <c r="I110" s="2" t="s">
        <v>507</v>
      </c>
      <c r="J110" s="2" t="s">
        <v>21</v>
      </c>
      <c r="K110" s="2" t="s">
        <v>22</v>
      </c>
      <c r="L110" s="2" t="s">
        <v>508</v>
      </c>
      <c r="M110" s="2" t="s">
        <v>288</v>
      </c>
      <c r="N110" s="2" t="s">
        <v>289</v>
      </c>
      <c r="O110" s="2" t="s">
        <v>24</v>
      </c>
      <c r="P110" s="2"/>
      <c r="Q110" s="2"/>
    </row>
    <row r="111" spans="1:17" customFormat="1" hidden="1" x14ac:dyDescent="0.25">
      <c r="A111" s="8" t="str">
        <f>_xlfn.CONCAT(VLOOKUP(_xlfn.CONCAT(Table1[[#This Row],[Dimension]],Table1[[#This Row],[Measure]],Table1[[#This Row],[Indicator]]),IndicatorType[],2,FALSE),".00",Table1[[#This Row],[Figure  ]])</f>
        <v>HSN.CRM.DMV.002</v>
      </c>
      <c r="B111" s="4" t="s">
        <v>129</v>
      </c>
      <c r="C111" s="6" t="s">
        <v>283</v>
      </c>
      <c r="D111" s="6" t="s">
        <v>493</v>
      </c>
      <c r="E111" s="6" t="s">
        <v>493</v>
      </c>
      <c r="F111" s="15" t="s">
        <v>230</v>
      </c>
      <c r="G111" s="6">
        <v>2</v>
      </c>
      <c r="H111" s="2" t="s">
        <v>497</v>
      </c>
      <c r="I111" s="2" t="s">
        <v>498</v>
      </c>
      <c r="J111" s="2" t="s">
        <v>29</v>
      </c>
      <c r="K111" s="2" t="s">
        <v>30</v>
      </c>
      <c r="L111" s="2" t="s">
        <v>496</v>
      </c>
      <c r="M111" s="2" t="s">
        <v>288</v>
      </c>
      <c r="N111" s="2" t="s">
        <v>289</v>
      </c>
      <c r="O111" s="2" t="s">
        <v>24</v>
      </c>
      <c r="P111" s="2"/>
      <c r="Q111" s="2"/>
    </row>
    <row r="112" spans="1:17" customFormat="1" hidden="1" x14ac:dyDescent="0.25">
      <c r="A112" s="8" t="str">
        <f>_xlfn.CONCAT(VLOOKUP(_xlfn.CONCAT(Table1[[#This Row],[Dimension]],Table1[[#This Row],[Measure]],Table1[[#This Row],[Indicator]]),IndicatorType[],2,FALSE),".00",Table1[[#This Row],[Figure  ]])</f>
        <v>HSN.CRM.DMV.002</v>
      </c>
      <c r="B112" s="4" t="s">
        <v>129</v>
      </c>
      <c r="C112" s="6" t="s">
        <v>283</v>
      </c>
      <c r="D112" s="6" t="s">
        <v>493</v>
      </c>
      <c r="E112" s="6" t="s">
        <v>504</v>
      </c>
      <c r="F112" s="15" t="s">
        <v>505</v>
      </c>
      <c r="G112" s="6">
        <v>2</v>
      </c>
      <c r="H112" s="2" t="s">
        <v>509</v>
      </c>
      <c r="I112" s="2" t="s">
        <v>510</v>
      </c>
      <c r="J112" s="2" t="s">
        <v>29</v>
      </c>
      <c r="K112" s="2" t="s">
        <v>30</v>
      </c>
      <c r="L112" s="2" t="s">
        <v>508</v>
      </c>
      <c r="M112" s="2" t="s">
        <v>288</v>
      </c>
      <c r="N112" s="2" t="s">
        <v>289</v>
      </c>
      <c r="O112" s="2" t="s">
        <v>24</v>
      </c>
      <c r="P112" s="2"/>
      <c r="Q112" s="2"/>
    </row>
    <row r="113" spans="1:17" customFormat="1" x14ac:dyDescent="0.25">
      <c r="A113" s="8" t="str">
        <f>_xlfn.CONCAT(VLOOKUP(_xlfn.CONCAT(Table1[[#This Row],[Dimension]],Table1[[#This Row],[Measure]],Table1[[#This Row],[Indicator]]),IndicatorType[],2,FALSE),".00",Table1[[#This Row],[Figure  ]])</f>
        <v>HSN.CRM.DMV.003</v>
      </c>
      <c r="B113" s="4" t="s">
        <v>129</v>
      </c>
      <c r="C113" s="6" t="s">
        <v>283</v>
      </c>
      <c r="D113" s="6" t="s">
        <v>493</v>
      </c>
      <c r="E113" s="6" t="s">
        <v>493</v>
      </c>
      <c r="F113" s="15" t="s">
        <v>499</v>
      </c>
      <c r="G113" s="6">
        <v>3</v>
      </c>
      <c r="H113" s="2" t="s">
        <v>500</v>
      </c>
      <c r="I113" s="2" t="s">
        <v>501</v>
      </c>
      <c r="J113" s="2" t="s">
        <v>33</v>
      </c>
      <c r="K113" s="2" t="s">
        <v>226</v>
      </c>
      <c r="L113" s="2" t="s">
        <v>502</v>
      </c>
      <c r="M113" s="2" t="s">
        <v>288</v>
      </c>
      <c r="N113" s="2" t="s">
        <v>503</v>
      </c>
      <c r="O113" s="2" t="s">
        <v>288</v>
      </c>
      <c r="P113" s="2"/>
      <c r="Q113" s="2"/>
    </row>
    <row r="114" spans="1:17" customFormat="1" x14ac:dyDescent="0.25">
      <c r="A114" s="8" t="str">
        <f>_xlfn.CONCAT(VLOOKUP(_xlfn.CONCAT(Table1[[#This Row],[Dimension]],Table1[[#This Row],[Measure]],Table1[[#This Row],[Indicator]]),IndicatorType[],2,FALSE),".00",Table1[[#This Row],[Figure  ]])</f>
        <v>HSN.CRM.DMV.003</v>
      </c>
      <c r="B114" s="4" t="s">
        <v>129</v>
      </c>
      <c r="C114" s="6" t="s">
        <v>283</v>
      </c>
      <c r="D114" s="6" t="s">
        <v>493</v>
      </c>
      <c r="E114" s="6" t="s">
        <v>504</v>
      </c>
      <c r="F114" s="15" t="s">
        <v>505</v>
      </c>
      <c r="G114" s="6">
        <v>3</v>
      </c>
      <c r="H114" s="2" t="s">
        <v>511</v>
      </c>
      <c r="I114" s="2" t="s">
        <v>512</v>
      </c>
      <c r="J114" s="2" t="s">
        <v>33</v>
      </c>
      <c r="K114" s="2" t="s">
        <v>226</v>
      </c>
      <c r="L114" s="2" t="s">
        <v>508</v>
      </c>
      <c r="M114" s="2" t="s">
        <v>288</v>
      </c>
      <c r="N114" s="2" t="s">
        <v>503</v>
      </c>
      <c r="O114" s="2" t="s">
        <v>288</v>
      </c>
      <c r="P114" s="2"/>
      <c r="Q114" s="2"/>
    </row>
    <row r="115" spans="1:17" customFormat="1" hidden="1" x14ac:dyDescent="0.25">
      <c r="A115" s="8" t="str">
        <f>_xlfn.CONCAT(VLOOKUP(_xlfn.CONCAT(Table1[[#This Row],[Dimension]],Table1[[#This Row],[Measure]],Table1[[#This Row],[Indicator]]),IndicatorType[],2,FALSE),".00",Table1[[#This Row],[Figure  ]])</f>
        <v>HSN.CRM.SER.001</v>
      </c>
      <c r="B115" s="4" t="s">
        <v>129</v>
      </c>
      <c r="C115" s="6" t="s">
        <v>283</v>
      </c>
      <c r="D115" s="6" t="s">
        <v>284</v>
      </c>
      <c r="E115" s="15" t="s">
        <v>230</v>
      </c>
      <c r="F115" s="15" t="s">
        <v>230</v>
      </c>
      <c r="G115" s="6">
        <v>1</v>
      </c>
      <c r="H115" s="3" t="s">
        <v>285</v>
      </c>
      <c r="I115" s="3" t="s">
        <v>286</v>
      </c>
      <c r="J115" s="3" t="s">
        <v>21</v>
      </c>
      <c r="K115" s="3" t="s">
        <v>22</v>
      </c>
      <c r="L115" s="3" t="s">
        <v>287</v>
      </c>
      <c r="M115" s="3" t="s">
        <v>288</v>
      </c>
      <c r="N115" s="3" t="s">
        <v>289</v>
      </c>
      <c r="O115" s="3" t="s">
        <v>24</v>
      </c>
      <c r="P115" s="2"/>
      <c r="Q115" s="2"/>
    </row>
    <row r="116" spans="1:17" customFormat="1" hidden="1" x14ac:dyDescent="0.25">
      <c r="A116" s="8" t="str">
        <f>_xlfn.CONCAT(VLOOKUP(_xlfn.CONCAT(Table1[[#This Row],[Dimension]],Table1[[#This Row],[Measure]],Table1[[#This Row],[Indicator]]),IndicatorType[],2,FALSE),".00",Table1[[#This Row],[Figure  ]])</f>
        <v>HSN.CRM.SER.002</v>
      </c>
      <c r="B116" s="4" t="s">
        <v>129</v>
      </c>
      <c r="C116" s="6" t="s">
        <v>283</v>
      </c>
      <c r="D116" s="6" t="s">
        <v>284</v>
      </c>
      <c r="E116" s="15" t="s">
        <v>230</v>
      </c>
      <c r="F116" s="15" t="s">
        <v>230</v>
      </c>
      <c r="G116" s="6">
        <v>2</v>
      </c>
      <c r="H116" s="3" t="s">
        <v>290</v>
      </c>
      <c r="I116" s="3" t="s">
        <v>291</v>
      </c>
      <c r="J116" s="3" t="s">
        <v>29</v>
      </c>
      <c r="K116" s="3" t="s">
        <v>30</v>
      </c>
      <c r="L116" s="3" t="s">
        <v>287</v>
      </c>
      <c r="M116" s="3" t="s">
        <v>288</v>
      </c>
      <c r="N116" s="3" t="s">
        <v>289</v>
      </c>
      <c r="O116" s="3" t="s">
        <v>24</v>
      </c>
      <c r="P116" s="2"/>
      <c r="Q116" s="2"/>
    </row>
    <row r="117" spans="1:17" customFormat="1" hidden="1" x14ac:dyDescent="0.25">
      <c r="A117" s="8" t="str">
        <f>_xlfn.CONCAT(VLOOKUP(_xlfn.CONCAT(Table1[[#This Row],[Dimension]],Table1[[#This Row],[Measure]],Table1[[#This Row],[Indicator]]),IndicatorType[],2,FALSE),".00",Table1[[#This Row],[Figure  ]])</f>
        <v>HSN.DIS.CDS.001</v>
      </c>
      <c r="B117" s="4" t="s">
        <v>129</v>
      </c>
      <c r="C117" s="6" t="s">
        <v>237</v>
      </c>
      <c r="D117" s="6" t="s">
        <v>237</v>
      </c>
      <c r="E117" s="15" t="s">
        <v>238</v>
      </c>
      <c r="F117" s="15" t="s">
        <v>230</v>
      </c>
      <c r="G117" s="6">
        <v>1</v>
      </c>
      <c r="H117" s="3" t="s">
        <v>239</v>
      </c>
      <c r="I117" s="3" t="s">
        <v>466</v>
      </c>
      <c r="J117" s="3" t="s">
        <v>21</v>
      </c>
      <c r="K117" s="3" t="s">
        <v>22</v>
      </c>
      <c r="L117" s="3" t="s">
        <v>240</v>
      </c>
      <c r="M117" s="3" t="s">
        <v>24</v>
      </c>
      <c r="N117" s="3" t="s">
        <v>241</v>
      </c>
      <c r="O117" s="3" t="s">
        <v>24</v>
      </c>
      <c r="P117" s="2"/>
      <c r="Q117" s="2"/>
    </row>
    <row r="118" spans="1:17" customFormat="1" hidden="1" x14ac:dyDescent="0.25">
      <c r="A118" s="8" t="str">
        <f>_xlfn.CONCAT(VLOOKUP(_xlfn.CONCAT(Table1[[#This Row],[Dimension]],Table1[[#This Row],[Measure]],Table1[[#This Row],[Indicator]]),IndicatorType[],2,FALSE),".00",Table1[[#This Row],[Figure  ]])</f>
        <v>HSN.DIS.CDS.002</v>
      </c>
      <c r="B118" s="4" t="s">
        <v>129</v>
      </c>
      <c r="C118" s="6" t="s">
        <v>237</v>
      </c>
      <c r="D118" s="6" t="s">
        <v>237</v>
      </c>
      <c r="E118" s="15" t="s">
        <v>238</v>
      </c>
      <c r="F118" s="15" t="s">
        <v>230</v>
      </c>
      <c r="G118" s="6">
        <v>2</v>
      </c>
      <c r="H118" s="3" t="s">
        <v>242</v>
      </c>
      <c r="I118" s="3" t="s">
        <v>467</v>
      </c>
      <c r="J118" s="3" t="s">
        <v>29</v>
      </c>
      <c r="K118" s="3" t="s">
        <v>30</v>
      </c>
      <c r="L118" s="3" t="s">
        <v>240</v>
      </c>
      <c r="M118" s="3" t="s">
        <v>24</v>
      </c>
      <c r="N118" s="3" t="s">
        <v>241</v>
      </c>
      <c r="O118" s="3" t="s">
        <v>24</v>
      </c>
      <c r="P118" s="2"/>
      <c r="Q118" s="2"/>
    </row>
    <row r="119" spans="1:17" customFormat="1" x14ac:dyDescent="0.25">
      <c r="A119" s="8" t="str">
        <f>_xlfn.CONCAT(VLOOKUP(_xlfn.CONCAT(Table1[[#This Row],[Dimension]],Table1[[#This Row],[Measure]],Table1[[#This Row],[Indicator]]),IndicatorType[],2,FALSE),".00",Table1[[#This Row],[Figure  ]])</f>
        <v>HSN.DIS.CDS.003</v>
      </c>
      <c r="B119" s="4" t="s">
        <v>129</v>
      </c>
      <c r="C119" s="6" t="s">
        <v>237</v>
      </c>
      <c r="D119" s="6" t="s">
        <v>237</v>
      </c>
      <c r="E119" s="15" t="s">
        <v>243</v>
      </c>
      <c r="F119" s="15" t="s">
        <v>244</v>
      </c>
      <c r="G119" s="6">
        <v>3</v>
      </c>
      <c r="H119" s="3" t="s">
        <v>245</v>
      </c>
      <c r="I119" s="3" t="s">
        <v>468</v>
      </c>
      <c r="J119" s="3" t="s">
        <v>33</v>
      </c>
      <c r="K119" s="3" t="s">
        <v>226</v>
      </c>
      <c r="L119" s="3" t="s">
        <v>246</v>
      </c>
      <c r="M119" s="3" t="s">
        <v>24</v>
      </c>
      <c r="N119" s="3" t="s">
        <v>247</v>
      </c>
      <c r="O119" s="3" t="s">
        <v>24</v>
      </c>
      <c r="P119" s="2"/>
      <c r="Q119" s="2"/>
    </row>
    <row r="120" spans="1:17" customFormat="1" hidden="1" x14ac:dyDescent="0.25">
      <c r="A120" s="8" t="str">
        <f>_xlfn.CONCAT(VLOOKUP(_xlfn.CONCAT(Table1[[#This Row],[Dimension]],Table1[[#This Row],[Measure]],Table1[[#This Row],[Indicator]]),IndicatorType[],2,FALSE),".00",Table1[[#This Row],[Figure  ]])</f>
        <v>HSN.DIS.CDS.004</v>
      </c>
      <c r="B120" s="4" t="s">
        <v>129</v>
      </c>
      <c r="C120" s="6" t="s">
        <v>237</v>
      </c>
      <c r="D120" s="6" t="s">
        <v>237</v>
      </c>
      <c r="E120" s="15" t="s">
        <v>238</v>
      </c>
      <c r="F120" s="15" t="s">
        <v>248</v>
      </c>
      <c r="G120" s="6">
        <v>4</v>
      </c>
      <c r="H120" s="3" t="s">
        <v>249</v>
      </c>
      <c r="I120" s="3" t="s">
        <v>469</v>
      </c>
      <c r="J120" s="3" t="s">
        <v>33</v>
      </c>
      <c r="K120" s="3" t="s">
        <v>226</v>
      </c>
      <c r="L120" s="3" t="s">
        <v>250</v>
      </c>
      <c r="M120" s="3" t="s">
        <v>24</v>
      </c>
      <c r="N120" s="3" t="s">
        <v>98</v>
      </c>
      <c r="O120" s="3" t="s">
        <v>24</v>
      </c>
      <c r="P120" s="2"/>
      <c r="Q120" s="2"/>
    </row>
    <row r="121" spans="1:17" customFormat="1" hidden="1" x14ac:dyDescent="0.25">
      <c r="A121" s="8" t="str">
        <f>_xlfn.CONCAT(VLOOKUP(_xlfn.CONCAT(Table1[[#This Row],[Dimension]],Table1[[#This Row],[Measure]],Table1[[#This Row],[Indicator]]),IndicatorType[],2,FALSE),".00",Table1[[#This Row],[Figure  ]])</f>
        <v>HSN.EDU.HDP.001</v>
      </c>
      <c r="B121" s="4" t="s">
        <v>129</v>
      </c>
      <c r="C121" s="6" t="s">
        <v>527</v>
      </c>
      <c r="D121" s="6" t="s">
        <v>271</v>
      </c>
      <c r="E121" s="15" t="s">
        <v>230</v>
      </c>
      <c r="F121" s="15" t="s">
        <v>230</v>
      </c>
      <c r="G121" s="6">
        <v>1</v>
      </c>
      <c r="H121" s="3" t="s">
        <v>271</v>
      </c>
      <c r="I121" s="3" t="s">
        <v>475</v>
      </c>
      <c r="J121" s="3" t="s">
        <v>21</v>
      </c>
      <c r="K121" s="3" t="s">
        <v>22</v>
      </c>
      <c r="L121" s="3" t="s">
        <v>272</v>
      </c>
      <c r="M121" s="3" t="s">
        <v>39</v>
      </c>
      <c r="N121" s="3" t="s">
        <v>273</v>
      </c>
      <c r="O121" s="3" t="s">
        <v>39</v>
      </c>
      <c r="P121" s="2"/>
      <c r="Q121" s="2"/>
    </row>
    <row r="122" spans="1:17" customFormat="1" hidden="1" x14ac:dyDescent="0.25">
      <c r="A122" s="8" t="str">
        <f>_xlfn.CONCAT(VLOOKUP(_xlfn.CONCAT(Table1[[#This Row],[Dimension]],Table1[[#This Row],[Measure]],Table1[[#This Row],[Indicator]]),IndicatorType[],2,FALSE),".00",Table1[[#This Row],[Figure  ]])</f>
        <v>HSN.EDU.HDP.002</v>
      </c>
      <c r="B122" s="4" t="s">
        <v>129</v>
      </c>
      <c r="C122" s="6" t="s">
        <v>527</v>
      </c>
      <c r="D122" s="6" t="s">
        <v>271</v>
      </c>
      <c r="E122" s="15" t="s">
        <v>230</v>
      </c>
      <c r="F122" s="15" t="s">
        <v>230</v>
      </c>
      <c r="G122" s="6">
        <v>2</v>
      </c>
      <c r="H122" s="3" t="s">
        <v>274</v>
      </c>
      <c r="I122" s="3" t="s">
        <v>476</v>
      </c>
      <c r="J122" s="3" t="s">
        <v>29</v>
      </c>
      <c r="K122" s="3" t="s">
        <v>30</v>
      </c>
      <c r="L122" s="3" t="s">
        <v>272</v>
      </c>
      <c r="M122" s="3" t="s">
        <v>39</v>
      </c>
      <c r="N122" s="3" t="s">
        <v>273</v>
      </c>
      <c r="O122" s="3" t="s">
        <v>39</v>
      </c>
      <c r="P122" s="2"/>
      <c r="Q122" s="2"/>
    </row>
    <row r="123" spans="1:17" customFormat="1" x14ac:dyDescent="0.25">
      <c r="A123" s="8" t="str">
        <f>_xlfn.CONCAT(VLOOKUP(_xlfn.CONCAT(Table1[[#This Row],[Dimension]],Table1[[#This Row],[Measure]],Table1[[#This Row],[Indicator]]),IndicatorType[],2,FALSE),".00",Table1[[#This Row],[Figure  ]])</f>
        <v>HSN.EDU.HDP.003</v>
      </c>
      <c r="B123" s="4" t="s">
        <v>129</v>
      </c>
      <c r="C123" s="6" t="s">
        <v>527</v>
      </c>
      <c r="D123" s="6" t="s">
        <v>271</v>
      </c>
      <c r="E123" s="15" t="s">
        <v>275</v>
      </c>
      <c r="F123" s="15" t="s">
        <v>230</v>
      </c>
      <c r="G123" s="6">
        <v>3</v>
      </c>
      <c r="H123" s="3" t="s">
        <v>276</v>
      </c>
      <c r="I123" s="3" t="s">
        <v>477</v>
      </c>
      <c r="J123" s="3" t="s">
        <v>33</v>
      </c>
      <c r="K123" s="3" t="s">
        <v>226</v>
      </c>
      <c r="L123" s="3" t="s">
        <v>277</v>
      </c>
      <c r="M123" s="3" t="s">
        <v>39</v>
      </c>
      <c r="N123" s="3" t="s">
        <v>278</v>
      </c>
      <c r="O123" s="3" t="s">
        <v>39</v>
      </c>
      <c r="P123" s="2"/>
      <c r="Q123" s="2"/>
    </row>
    <row r="124" spans="1:17" customFormat="1" hidden="1" x14ac:dyDescent="0.25">
      <c r="A124" s="8" t="str">
        <f>_xlfn.CONCAT(VLOOKUP(_xlfn.CONCAT(Table1[[#This Row],[Dimension]],Table1[[#This Row],[Measure]],Table1[[#This Row],[Indicator]]),IndicatorType[],2,FALSE),".00",Table1[[#This Row],[Figure  ]])</f>
        <v>HSN.EDU.HDP.004</v>
      </c>
      <c r="B124" s="4" t="s">
        <v>129</v>
      </c>
      <c r="C124" s="6" t="s">
        <v>527</v>
      </c>
      <c r="D124" s="6" t="s">
        <v>271</v>
      </c>
      <c r="E124" s="15" t="s">
        <v>279</v>
      </c>
      <c r="F124" s="15" t="s">
        <v>230</v>
      </c>
      <c r="G124" s="6">
        <v>4</v>
      </c>
      <c r="H124" s="3" t="s">
        <v>280</v>
      </c>
      <c r="I124" s="3" t="s">
        <v>478</v>
      </c>
      <c r="J124" s="3" t="s">
        <v>33</v>
      </c>
      <c r="K124" s="3" t="s">
        <v>226</v>
      </c>
      <c r="L124" s="3" t="s">
        <v>281</v>
      </c>
      <c r="M124" s="3" t="s">
        <v>39</v>
      </c>
      <c r="N124" s="3" t="s">
        <v>282</v>
      </c>
      <c r="O124" s="3" t="s">
        <v>39</v>
      </c>
      <c r="P124" s="2"/>
      <c r="Q124" s="2"/>
    </row>
    <row r="125" spans="1:17" customFormat="1" hidden="1" x14ac:dyDescent="0.25">
      <c r="A125" s="8" t="str">
        <f>_xlfn.CONCAT(VLOOKUP(_xlfn.CONCAT(Table1[[#This Row],[Dimension]],Table1[[#This Row],[Measure]],Table1[[#This Row],[Indicator]]),IndicatorType[],2,FALSE),".00",Table1[[#This Row],[Figure  ]])</f>
        <v>HSN.EDU.ELS.001</v>
      </c>
      <c r="B125" s="4" t="s">
        <v>129</v>
      </c>
      <c r="C125" s="6" t="s">
        <v>527</v>
      </c>
      <c r="D125" s="6" t="s">
        <v>267</v>
      </c>
      <c r="E125" s="15" t="s">
        <v>230</v>
      </c>
      <c r="F125" s="15" t="s">
        <v>230</v>
      </c>
      <c r="G125" s="6">
        <v>1</v>
      </c>
      <c r="H125" s="3" t="s">
        <v>268</v>
      </c>
      <c r="I125" s="3"/>
      <c r="J125" s="3" t="s">
        <v>21</v>
      </c>
      <c r="K125" s="3" t="s">
        <v>22</v>
      </c>
      <c r="L125" s="3"/>
      <c r="M125" s="3"/>
      <c r="N125" s="3"/>
      <c r="O125" s="3"/>
      <c r="P125" s="2"/>
      <c r="Q125" s="2" t="s">
        <v>269</v>
      </c>
    </row>
    <row r="126" spans="1:17" customFormat="1" hidden="1" x14ac:dyDescent="0.25">
      <c r="A126" s="8" t="str">
        <f>_xlfn.CONCAT(VLOOKUP(_xlfn.CONCAT(Table1[[#This Row],[Dimension]],Table1[[#This Row],[Measure]],Table1[[#This Row],[Indicator]]),IndicatorType[],2,FALSE),".00",Table1[[#This Row],[Figure  ]])</f>
        <v>HSN.EDU.ELS.002</v>
      </c>
      <c r="B126" s="4" t="s">
        <v>129</v>
      </c>
      <c r="C126" s="6" t="s">
        <v>527</v>
      </c>
      <c r="D126" s="6" t="s">
        <v>267</v>
      </c>
      <c r="E126" s="15" t="s">
        <v>230</v>
      </c>
      <c r="F126" s="15" t="s">
        <v>230</v>
      </c>
      <c r="G126" s="6">
        <v>2</v>
      </c>
      <c r="H126" s="3" t="s">
        <v>270</v>
      </c>
      <c r="I126" s="3"/>
      <c r="J126" s="3" t="s">
        <v>29</v>
      </c>
      <c r="K126" s="3" t="s">
        <v>30</v>
      </c>
      <c r="L126" s="3"/>
      <c r="M126" s="3"/>
      <c r="N126" s="3"/>
      <c r="O126" s="3"/>
      <c r="P126" s="2"/>
      <c r="Q126" s="2"/>
    </row>
    <row r="127" spans="1:17" customFormat="1" hidden="1" x14ac:dyDescent="0.25">
      <c r="A127" s="8" t="str">
        <f>_xlfn.CONCAT(VLOOKUP(_xlfn.CONCAT(Table1[[#This Row],[Dimension]],Table1[[#This Row],[Measure]],Table1[[#This Row],[Indicator]]),IndicatorType[],2,FALSE),".00",Table1[[#This Row],[Figure  ]])</f>
        <v>HSN.EDU.EAM.001</v>
      </c>
      <c r="B127" s="4" t="s">
        <v>129</v>
      </c>
      <c r="C127" s="6" t="s">
        <v>527</v>
      </c>
      <c r="D127" s="6" t="s">
        <v>260</v>
      </c>
      <c r="E127" s="15" t="s">
        <v>261</v>
      </c>
      <c r="F127" s="15" t="s">
        <v>230</v>
      </c>
      <c r="G127" s="6">
        <v>1</v>
      </c>
      <c r="H127" s="3" t="s">
        <v>262</v>
      </c>
      <c r="I127" s="3" t="s">
        <v>473</v>
      </c>
      <c r="J127" s="3" t="s">
        <v>21</v>
      </c>
      <c r="K127" s="3" t="s">
        <v>22</v>
      </c>
      <c r="L127" s="3" t="s">
        <v>263</v>
      </c>
      <c r="M127" s="3" t="s">
        <v>48</v>
      </c>
      <c r="N127" s="3" t="s">
        <v>111</v>
      </c>
      <c r="O127" s="3" t="s">
        <v>48</v>
      </c>
      <c r="P127" s="2"/>
      <c r="Q127" s="2"/>
    </row>
    <row r="128" spans="1:17" customFormat="1" hidden="1" x14ac:dyDescent="0.25">
      <c r="A128" s="8" t="str">
        <f>_xlfn.CONCAT(VLOOKUP(_xlfn.CONCAT(Table1[[#This Row],[Dimension]],Table1[[#This Row],[Measure]],Table1[[#This Row],[Indicator]]),IndicatorType[],2,FALSE),".00",Table1[[#This Row],[Figure  ]])</f>
        <v>HSN.EDU.EAM.002</v>
      </c>
      <c r="B128" s="4" t="s">
        <v>129</v>
      </c>
      <c r="C128" s="6" t="s">
        <v>527</v>
      </c>
      <c r="D128" s="6" t="s">
        <v>260</v>
      </c>
      <c r="E128" s="15" t="s">
        <v>261</v>
      </c>
      <c r="F128" s="15" t="s">
        <v>230</v>
      </c>
      <c r="G128" s="6">
        <v>2</v>
      </c>
      <c r="H128" s="3" t="s">
        <v>264</v>
      </c>
      <c r="I128" s="3" t="s">
        <v>474</v>
      </c>
      <c r="J128" s="3" t="s">
        <v>29</v>
      </c>
      <c r="K128" s="3" t="s">
        <v>30</v>
      </c>
      <c r="L128" s="3" t="s">
        <v>265</v>
      </c>
      <c r="M128" s="3" t="s">
        <v>48</v>
      </c>
      <c r="N128" s="3" t="s">
        <v>111</v>
      </c>
      <c r="O128" s="3" t="s">
        <v>48</v>
      </c>
      <c r="P128" s="2"/>
      <c r="Q128" s="2"/>
    </row>
    <row r="129" spans="1:17" customFormat="1" x14ac:dyDescent="0.25">
      <c r="A129" s="8" t="str">
        <f>_xlfn.CONCAT(VLOOKUP(_xlfn.CONCAT(Table1[[#This Row],[Dimension]],Table1[[#This Row],[Measure]],Table1[[#This Row],[Indicator]]),IndicatorType[],2,FALSE),".00",Table1[[#This Row],[Figure  ]])</f>
        <v>HSN.EDU.EAM.003</v>
      </c>
      <c r="B129" s="4" t="s">
        <v>129</v>
      </c>
      <c r="C129" s="6" t="s">
        <v>527</v>
      </c>
      <c r="D129" s="6" t="s">
        <v>260</v>
      </c>
      <c r="E129" s="15" t="s">
        <v>261</v>
      </c>
      <c r="F129" s="15" t="s">
        <v>230</v>
      </c>
      <c r="G129" s="6">
        <v>3</v>
      </c>
      <c r="H129" s="3" t="s">
        <v>266</v>
      </c>
      <c r="I129" s="3" t="s">
        <v>473</v>
      </c>
      <c r="J129" s="3" t="s">
        <v>33</v>
      </c>
      <c r="K129" s="3" t="s">
        <v>226</v>
      </c>
      <c r="L129" s="3" t="s">
        <v>263</v>
      </c>
      <c r="M129" s="3" t="s">
        <v>48</v>
      </c>
      <c r="N129" s="3" t="s">
        <v>111</v>
      </c>
      <c r="O129" s="3" t="s">
        <v>48</v>
      </c>
      <c r="P129" s="2"/>
      <c r="Q129" s="2"/>
    </row>
    <row r="130" spans="1:17" customFormat="1" hidden="1" x14ac:dyDescent="0.25">
      <c r="A130" s="8" t="str">
        <f>_xlfn.CONCAT(VLOOKUP(_xlfn.CONCAT(Table1[[#This Row],[Dimension]],Table1[[#This Row],[Measure]],Table1[[#This Row],[Indicator]]),IndicatorType[],2,FALSE),".00",Table1[[#This Row],[Figure  ]])</f>
        <v>HSN.EDU.SCH.001</v>
      </c>
      <c r="B130" s="4" t="s">
        <v>129</v>
      </c>
      <c r="C130" s="6" t="s">
        <v>527</v>
      </c>
      <c r="D130" s="6" t="s">
        <v>251</v>
      </c>
      <c r="E130" s="15" t="s">
        <v>252</v>
      </c>
      <c r="F130" s="15" t="s">
        <v>230</v>
      </c>
      <c r="G130" s="6">
        <v>1</v>
      </c>
      <c r="H130" s="3" t="s">
        <v>253</v>
      </c>
      <c r="I130" s="3" t="s">
        <v>470</v>
      </c>
      <c r="J130" s="3" t="s">
        <v>21</v>
      </c>
      <c r="K130" s="3" t="s">
        <v>22</v>
      </c>
      <c r="L130" s="3" t="s">
        <v>254</v>
      </c>
      <c r="M130" s="3" t="s">
        <v>24</v>
      </c>
      <c r="N130" s="3" t="s">
        <v>98</v>
      </c>
      <c r="O130" s="3" t="s">
        <v>24</v>
      </c>
      <c r="P130" s="2"/>
      <c r="Q130" s="2"/>
    </row>
    <row r="131" spans="1:17" customFormat="1" hidden="1" x14ac:dyDescent="0.25">
      <c r="A131" s="8" t="str">
        <f>_xlfn.CONCAT(VLOOKUP(_xlfn.CONCAT(Table1[[#This Row],[Dimension]],Table1[[#This Row],[Measure]],Table1[[#This Row],[Indicator]]),IndicatorType[],2,FALSE),".00",Table1[[#This Row],[Figure  ]])</f>
        <v>HSN.EDU.SCH.002</v>
      </c>
      <c r="B131" s="4" t="s">
        <v>129</v>
      </c>
      <c r="C131" s="6" t="s">
        <v>527</v>
      </c>
      <c r="D131" s="6" t="s">
        <v>251</v>
      </c>
      <c r="E131" s="15" t="s">
        <v>252</v>
      </c>
      <c r="F131" s="15" t="s">
        <v>230</v>
      </c>
      <c r="G131" s="6">
        <v>2</v>
      </c>
      <c r="H131" s="3" t="s">
        <v>255</v>
      </c>
      <c r="I131" s="3" t="s">
        <v>471</v>
      </c>
      <c r="J131" s="3" t="s">
        <v>29</v>
      </c>
      <c r="K131" s="3" t="s">
        <v>30</v>
      </c>
      <c r="L131" s="3" t="s">
        <v>254</v>
      </c>
      <c r="M131" s="3" t="s">
        <v>24</v>
      </c>
      <c r="N131" s="3" t="s">
        <v>98</v>
      </c>
      <c r="O131" s="3" t="s">
        <v>24</v>
      </c>
      <c r="P131" s="2"/>
      <c r="Q131" s="2"/>
    </row>
    <row r="132" spans="1:17" customFormat="1" x14ac:dyDescent="0.25">
      <c r="A132" s="8" t="str">
        <f>_xlfn.CONCAT(VLOOKUP(_xlfn.CONCAT(Table1[[#This Row],[Dimension]],Table1[[#This Row],[Measure]],Table1[[#This Row],[Indicator]]),IndicatorType[],2,FALSE),".00",Table1[[#This Row],[Figure  ]])</f>
        <v>HSN.EDU.SCH.003</v>
      </c>
      <c r="B132" s="4" t="s">
        <v>129</v>
      </c>
      <c r="C132" s="6" t="s">
        <v>527</v>
      </c>
      <c r="D132" s="6" t="s">
        <v>251</v>
      </c>
      <c r="E132" s="15" t="s">
        <v>252</v>
      </c>
      <c r="F132" s="15" t="s">
        <v>256</v>
      </c>
      <c r="G132" s="6">
        <v>3</v>
      </c>
      <c r="H132" s="3" t="s">
        <v>257</v>
      </c>
      <c r="I132" s="3" t="s">
        <v>472</v>
      </c>
      <c r="J132" s="3" t="s">
        <v>33</v>
      </c>
      <c r="K132" s="3" t="s">
        <v>226</v>
      </c>
      <c r="L132" s="3" t="s">
        <v>258</v>
      </c>
      <c r="M132" s="3" t="s">
        <v>24</v>
      </c>
      <c r="N132" s="3" t="s">
        <v>259</v>
      </c>
      <c r="O132" s="3" t="s">
        <v>24</v>
      </c>
      <c r="P132" s="2"/>
      <c r="Q132" s="2"/>
    </row>
    <row r="133" spans="1:17" customFormat="1" hidden="1" x14ac:dyDescent="0.25">
      <c r="A133" s="8" t="str">
        <f>_xlfn.CONCAT(VLOOKUP(_xlfn.CONCAT(Table1[[#This Row],[Dimension]],Table1[[#This Row],[Measure]],Table1[[#This Row],[Indicator]]),IndicatorType[],2,FALSE),".00",Table1[[#This Row],[Figure  ]])</f>
        <v>SRV.SER.CCA.001</v>
      </c>
      <c r="B133" s="5" t="s">
        <v>480</v>
      </c>
      <c r="C133" s="6" t="s">
        <v>312</v>
      </c>
      <c r="D133" s="6" t="s">
        <v>314</v>
      </c>
      <c r="E133" s="15" t="s">
        <v>313</v>
      </c>
      <c r="F133" s="15" t="s">
        <v>230</v>
      </c>
      <c r="G133" s="6">
        <v>1</v>
      </c>
      <c r="H133" s="3" t="s">
        <v>314</v>
      </c>
      <c r="I133" s="3" t="s">
        <v>481</v>
      </c>
      <c r="J133" s="3" t="s">
        <v>21</v>
      </c>
      <c r="K133" s="3" t="s">
        <v>22</v>
      </c>
      <c r="L133" s="3" t="s">
        <v>315</v>
      </c>
      <c r="M133" s="3" t="s">
        <v>232</v>
      </c>
      <c r="N133" s="3" t="s">
        <v>316</v>
      </c>
      <c r="O133" s="3" t="s">
        <v>232</v>
      </c>
      <c r="P133" s="2"/>
      <c r="Q133" s="2"/>
    </row>
    <row r="134" spans="1:17" customFormat="1" hidden="1" x14ac:dyDescent="0.25">
      <c r="A134" s="8" t="str">
        <f>_xlfn.CONCAT(VLOOKUP(_xlfn.CONCAT(Table1[[#This Row],[Dimension]],Table1[[#This Row],[Measure]],Table1[[#This Row],[Indicator]]),IndicatorType[],2,FALSE),".00",Table1[[#This Row],[Figure  ]])</f>
        <v>SRV.SER.CCA.002</v>
      </c>
      <c r="B134" s="5" t="s">
        <v>480</v>
      </c>
      <c r="C134" s="6" t="s">
        <v>312</v>
      </c>
      <c r="D134" s="6" t="s">
        <v>314</v>
      </c>
      <c r="E134" s="15" t="s">
        <v>313</v>
      </c>
      <c r="F134" s="15" t="s">
        <v>230</v>
      </c>
      <c r="G134" s="6">
        <v>2</v>
      </c>
      <c r="H134" s="3" t="s">
        <v>317</v>
      </c>
      <c r="I134" s="3" t="s">
        <v>482</v>
      </c>
      <c r="J134" s="3" t="s">
        <v>29</v>
      </c>
      <c r="K134" s="3" t="s">
        <v>30</v>
      </c>
      <c r="L134" s="3" t="s">
        <v>315</v>
      </c>
      <c r="M134" s="3" t="s">
        <v>232</v>
      </c>
      <c r="N134" s="3" t="s">
        <v>316</v>
      </c>
      <c r="O134" s="3" t="s">
        <v>232</v>
      </c>
      <c r="P134" s="2"/>
      <c r="Q134" s="2"/>
    </row>
    <row r="135" spans="1:17" customFormat="1" x14ac:dyDescent="0.25">
      <c r="A135" s="8" t="str">
        <f>_xlfn.CONCAT(VLOOKUP(_xlfn.CONCAT(Table1[[#This Row],[Dimension]],Table1[[#This Row],[Measure]],Table1[[#This Row],[Indicator]]),IndicatorType[],2,FALSE),".00",Table1[[#This Row],[Figure  ]])</f>
        <v>SRV.SER.CCA.003</v>
      </c>
      <c r="B135" s="5" t="s">
        <v>480</v>
      </c>
      <c r="C135" s="6" t="s">
        <v>312</v>
      </c>
      <c r="D135" s="6" t="s">
        <v>314</v>
      </c>
      <c r="E135" s="15" t="s">
        <v>313</v>
      </c>
      <c r="F135" s="15" t="s">
        <v>230</v>
      </c>
      <c r="G135" s="6">
        <v>3</v>
      </c>
      <c r="H135" s="3" t="s">
        <v>318</v>
      </c>
      <c r="I135" s="3" t="s">
        <v>483</v>
      </c>
      <c r="J135" s="3" t="s">
        <v>33</v>
      </c>
      <c r="K135" s="3" t="s">
        <v>226</v>
      </c>
      <c r="L135" s="3" t="s">
        <v>319</v>
      </c>
      <c r="M135" s="3" t="s">
        <v>232</v>
      </c>
      <c r="N135" s="3" t="s">
        <v>320</v>
      </c>
      <c r="O135" s="3" t="s">
        <v>232</v>
      </c>
      <c r="P135" s="2"/>
      <c r="Q135" s="2"/>
    </row>
    <row r="136" spans="1:17" customFormat="1" hidden="1" x14ac:dyDescent="0.25">
      <c r="A136" s="8" t="str">
        <f>_xlfn.CONCAT(VLOOKUP(_xlfn.CONCAT(Table1[[#This Row],[Dimension]],Table1[[#This Row],[Measure]],Table1[[#This Row],[Indicator]]),IndicatorType[],2,FALSE),".00",Table1[[#This Row],[Figure  ]])</f>
        <v>SRV.SER.DNT.001</v>
      </c>
      <c r="B136" s="5" t="s">
        <v>480</v>
      </c>
      <c r="C136" s="6" t="s">
        <v>312</v>
      </c>
      <c r="D136" s="6" t="s">
        <v>347</v>
      </c>
      <c r="E136" s="15" t="s">
        <v>348</v>
      </c>
      <c r="F136" s="15" t="s">
        <v>230</v>
      </c>
      <c r="G136" s="6">
        <v>1</v>
      </c>
      <c r="H136" s="3" t="s">
        <v>349</v>
      </c>
      <c r="I136" s="3" t="s">
        <v>484</v>
      </c>
      <c r="J136" s="3" t="s">
        <v>21</v>
      </c>
      <c r="K136" s="3" t="s">
        <v>22</v>
      </c>
      <c r="L136" s="3" t="s">
        <v>350</v>
      </c>
      <c r="M136" s="3" t="s">
        <v>232</v>
      </c>
      <c r="N136" s="3" t="s">
        <v>351</v>
      </c>
      <c r="O136" s="3" t="s">
        <v>232</v>
      </c>
      <c r="P136" s="2"/>
      <c r="Q136" s="2"/>
    </row>
    <row r="137" spans="1:17" customFormat="1" hidden="1" x14ac:dyDescent="0.25">
      <c r="A137" s="8" t="str">
        <f>_xlfn.CONCAT(VLOOKUP(_xlfn.CONCAT(Table1[[#This Row],[Dimension]],Table1[[#This Row],[Measure]],Table1[[#This Row],[Indicator]]),IndicatorType[],2,FALSE),".00",Table1[[#This Row],[Figure  ]])</f>
        <v>SRV.SER.DNT.002</v>
      </c>
      <c r="B137" s="5" t="s">
        <v>480</v>
      </c>
      <c r="C137" s="6" t="s">
        <v>312</v>
      </c>
      <c r="D137" s="6" t="s">
        <v>347</v>
      </c>
      <c r="E137" s="15" t="s">
        <v>348</v>
      </c>
      <c r="F137" s="15" t="s">
        <v>230</v>
      </c>
      <c r="G137" s="6">
        <v>2</v>
      </c>
      <c r="H137" s="3" t="s">
        <v>352</v>
      </c>
      <c r="I137" s="3" t="s">
        <v>485</v>
      </c>
      <c r="J137" s="3" t="s">
        <v>29</v>
      </c>
      <c r="K137" s="3" t="s">
        <v>30</v>
      </c>
      <c r="L137" s="3" t="s">
        <v>350</v>
      </c>
      <c r="M137" s="3" t="s">
        <v>232</v>
      </c>
      <c r="N137" s="3" t="s">
        <v>351</v>
      </c>
      <c r="O137" s="3" t="s">
        <v>232</v>
      </c>
      <c r="P137" s="2"/>
      <c r="Q137" s="2"/>
    </row>
    <row r="138" spans="1:17" customFormat="1" x14ac:dyDescent="0.25">
      <c r="A138" s="8" t="str">
        <f>_xlfn.CONCAT(VLOOKUP(_xlfn.CONCAT(Table1[[#This Row],[Dimension]],Table1[[#This Row],[Measure]],Table1[[#This Row],[Indicator]]),IndicatorType[],2,FALSE),".00",Table1[[#This Row],[Figure  ]])</f>
        <v>SRV.SER.DNT.003</v>
      </c>
      <c r="B138" s="5" t="s">
        <v>480</v>
      </c>
      <c r="C138" s="6" t="s">
        <v>312</v>
      </c>
      <c r="D138" s="6" t="s">
        <v>347</v>
      </c>
      <c r="E138" s="15" t="s">
        <v>353</v>
      </c>
      <c r="F138" s="15" t="s">
        <v>230</v>
      </c>
      <c r="G138" s="6">
        <v>3</v>
      </c>
      <c r="H138" s="3" t="s">
        <v>354</v>
      </c>
      <c r="I138" s="3" t="s">
        <v>486</v>
      </c>
      <c r="J138" s="3" t="s">
        <v>33</v>
      </c>
      <c r="K138" s="3" t="s">
        <v>226</v>
      </c>
      <c r="L138" s="3" t="s">
        <v>355</v>
      </c>
      <c r="M138" s="3" t="s">
        <v>232</v>
      </c>
      <c r="N138" s="3" t="s">
        <v>356</v>
      </c>
      <c r="O138" s="3" t="s">
        <v>232</v>
      </c>
      <c r="P138" s="2"/>
      <c r="Q138" s="2"/>
    </row>
    <row r="139" spans="1:17" customFormat="1" hidden="1" x14ac:dyDescent="0.25">
      <c r="A139" s="8" t="str">
        <f>_xlfn.CONCAT(VLOOKUP(_xlfn.CONCAT(Table1[[#This Row],[Dimension]],Table1[[#This Row],[Measure]],Table1[[#This Row],[Indicator]]),IndicatorType[],2,FALSE),".00",Table1[[#This Row],[Figure  ]])</f>
        <v>SRV.SER.FST.001</v>
      </c>
      <c r="B139" s="5" t="s">
        <v>480</v>
      </c>
      <c r="C139" s="6" t="s">
        <v>312</v>
      </c>
      <c r="D139" s="6" t="s">
        <v>367</v>
      </c>
      <c r="E139" s="15" t="s">
        <v>357</v>
      </c>
      <c r="F139" s="15" t="s">
        <v>230</v>
      </c>
      <c r="G139" s="6">
        <v>1</v>
      </c>
      <c r="H139" s="3" t="s">
        <v>368</v>
      </c>
      <c r="I139" s="3" t="s">
        <v>489</v>
      </c>
      <c r="J139" s="3" t="s">
        <v>21</v>
      </c>
      <c r="K139" s="3" t="s">
        <v>22</v>
      </c>
      <c r="L139" s="3" t="s">
        <v>369</v>
      </c>
      <c r="M139" s="3" t="s">
        <v>370</v>
      </c>
      <c r="N139" s="3" t="s">
        <v>371</v>
      </c>
      <c r="O139" s="3" t="s">
        <v>24</v>
      </c>
      <c r="P139" s="2"/>
      <c r="Q139" s="2" t="s">
        <v>372</v>
      </c>
    </row>
    <row r="140" spans="1:17" customFormat="1" hidden="1" x14ac:dyDescent="0.25">
      <c r="A140" s="8" t="str">
        <f>_xlfn.CONCAT(VLOOKUP(_xlfn.CONCAT(Table1[[#This Row],[Dimension]],Table1[[#This Row],[Measure]],Table1[[#This Row],[Indicator]]),IndicatorType[],2,FALSE),".00",Table1[[#This Row],[Figure  ]])</f>
        <v>SRV.SER.FST.002</v>
      </c>
      <c r="B140" s="5" t="s">
        <v>480</v>
      </c>
      <c r="C140" s="6" t="s">
        <v>312</v>
      </c>
      <c r="D140" s="6" t="s">
        <v>367</v>
      </c>
      <c r="E140" s="15" t="s">
        <v>357</v>
      </c>
      <c r="F140" s="15" t="s">
        <v>230</v>
      </c>
      <c r="G140" s="6">
        <v>2</v>
      </c>
      <c r="H140" s="3" t="s">
        <v>373</v>
      </c>
      <c r="I140" s="3" t="s">
        <v>490</v>
      </c>
      <c r="J140" s="3" t="s">
        <v>29</v>
      </c>
      <c r="K140" s="3" t="s">
        <v>30</v>
      </c>
      <c r="L140" s="3" t="s">
        <v>369</v>
      </c>
      <c r="M140" s="3" t="s">
        <v>370</v>
      </c>
      <c r="N140" s="3" t="s">
        <v>371</v>
      </c>
      <c r="O140" s="3" t="s">
        <v>24</v>
      </c>
      <c r="P140" s="2"/>
      <c r="Q140" s="2" t="s">
        <v>372</v>
      </c>
    </row>
    <row r="141" spans="1:17" customFormat="1" x14ac:dyDescent="0.25">
      <c r="A141" s="8" t="str">
        <f>_xlfn.CONCAT(VLOOKUP(_xlfn.CONCAT(Table1[[#This Row],[Dimension]],Table1[[#This Row],[Measure]],Table1[[#This Row],[Indicator]]),IndicatorType[],2,FALSE),".00",Table1[[#This Row],[Figure  ]])</f>
        <v>SRV.SER.FST.003</v>
      </c>
      <c r="B141" s="5" t="s">
        <v>480</v>
      </c>
      <c r="C141" s="6" t="s">
        <v>312</v>
      </c>
      <c r="D141" s="6" t="s">
        <v>367</v>
      </c>
      <c r="E141" s="15" t="s">
        <v>357</v>
      </c>
      <c r="F141" s="15" t="s">
        <v>230</v>
      </c>
      <c r="G141" s="6">
        <v>3</v>
      </c>
      <c r="H141" s="3" t="s">
        <v>374</v>
      </c>
      <c r="I141" s="3" t="s">
        <v>491</v>
      </c>
      <c r="J141" s="3" t="s">
        <v>33</v>
      </c>
      <c r="K141" s="3" t="s">
        <v>226</v>
      </c>
      <c r="L141" s="3" t="s">
        <v>369</v>
      </c>
      <c r="M141" s="3" t="s">
        <v>24</v>
      </c>
      <c r="N141" s="3" t="s">
        <v>371</v>
      </c>
      <c r="O141" s="3" t="s">
        <v>24</v>
      </c>
      <c r="P141" s="2"/>
      <c r="Q141" s="2"/>
    </row>
    <row r="142" spans="1:17" customFormat="1" hidden="1" x14ac:dyDescent="0.25">
      <c r="A142" s="8" t="str">
        <f>_xlfn.CONCAT(VLOOKUP(_xlfn.CONCAT(Table1[[#This Row],[Dimension]],Table1[[#This Row],[Measure]],Table1[[#This Row],[Indicator]]),IndicatorType[],2,FALSE),".00",Table1[[#This Row],[Figure  ]])</f>
        <v>SRV.SER.HCC.001</v>
      </c>
      <c r="B142" s="5" t="s">
        <v>480</v>
      </c>
      <c r="C142" s="6" t="s">
        <v>312</v>
      </c>
      <c r="D142" s="6" t="s">
        <v>487</v>
      </c>
      <c r="E142" s="15" t="s">
        <v>357</v>
      </c>
      <c r="F142" s="15" t="s">
        <v>230</v>
      </c>
      <c r="G142" s="6">
        <v>1</v>
      </c>
      <c r="H142" s="3" t="s">
        <v>358</v>
      </c>
      <c r="I142" s="3" t="s">
        <v>359</v>
      </c>
      <c r="J142" s="3" t="s">
        <v>21</v>
      </c>
      <c r="K142" s="3" t="s">
        <v>22</v>
      </c>
      <c r="L142" s="3" t="s">
        <v>360</v>
      </c>
      <c r="M142" s="3" t="s">
        <v>24</v>
      </c>
      <c r="N142" s="3" t="s">
        <v>339</v>
      </c>
      <c r="O142" s="3" t="s">
        <v>24</v>
      </c>
      <c r="P142" s="2"/>
      <c r="Q142" s="2"/>
    </row>
    <row r="143" spans="1:17" customFormat="1" hidden="1" x14ac:dyDescent="0.25">
      <c r="A143" s="8" t="str">
        <f>_xlfn.CONCAT(VLOOKUP(_xlfn.CONCAT(Table1[[#This Row],[Dimension]],Table1[[#This Row],[Measure]],Table1[[#This Row],[Indicator]]),IndicatorType[],2,FALSE),".00",Table1[[#This Row],[Figure  ]])</f>
        <v>SRV.SER.HCC.002</v>
      </c>
      <c r="B143" s="5" t="s">
        <v>480</v>
      </c>
      <c r="C143" s="6" t="s">
        <v>312</v>
      </c>
      <c r="D143" s="6" t="s">
        <v>487</v>
      </c>
      <c r="E143" s="15" t="s">
        <v>357</v>
      </c>
      <c r="F143" s="15" t="s">
        <v>230</v>
      </c>
      <c r="G143" s="6">
        <v>2</v>
      </c>
      <c r="H143" s="3" t="s">
        <v>361</v>
      </c>
      <c r="I143" s="3" t="s">
        <v>362</v>
      </c>
      <c r="J143" s="3" t="s">
        <v>29</v>
      </c>
      <c r="K143" s="3" t="s">
        <v>30</v>
      </c>
      <c r="L143" s="3" t="s">
        <v>360</v>
      </c>
      <c r="M143" s="3" t="s">
        <v>24</v>
      </c>
      <c r="N143" s="3" t="s">
        <v>339</v>
      </c>
      <c r="O143" s="3" t="s">
        <v>24</v>
      </c>
      <c r="P143" s="2"/>
      <c r="Q143" s="2"/>
    </row>
    <row r="144" spans="1:17" customFormat="1" x14ac:dyDescent="0.25">
      <c r="A144" s="8" t="str">
        <f>_xlfn.CONCAT(VLOOKUP(_xlfn.CONCAT(Table1[[#This Row],[Dimension]],Table1[[#This Row],[Measure]],Table1[[#This Row],[Indicator]]),IndicatorType[],2,FALSE),".00",Table1[[#This Row],[Figure  ]])</f>
        <v>SRV.SER.HCC.003</v>
      </c>
      <c r="B144" s="5" t="s">
        <v>480</v>
      </c>
      <c r="C144" s="6" t="s">
        <v>312</v>
      </c>
      <c r="D144" s="6" t="s">
        <v>487</v>
      </c>
      <c r="E144" s="15" t="s">
        <v>230</v>
      </c>
      <c r="F144" s="15" t="s">
        <v>363</v>
      </c>
      <c r="G144" s="6">
        <v>3</v>
      </c>
      <c r="H144" s="3" t="s">
        <v>488</v>
      </c>
      <c r="I144" s="3" t="s">
        <v>364</v>
      </c>
      <c r="J144" s="3" t="s">
        <v>33</v>
      </c>
      <c r="K144" s="3" t="s">
        <v>226</v>
      </c>
      <c r="L144" s="3" t="s">
        <v>365</v>
      </c>
      <c r="M144" s="3" t="s">
        <v>24</v>
      </c>
      <c r="N144" s="3" t="s">
        <v>366</v>
      </c>
      <c r="O144" s="3" t="s">
        <v>24</v>
      </c>
      <c r="P144" s="2"/>
      <c r="Q144" s="2"/>
    </row>
    <row r="145" spans="1:17" customFormat="1" hidden="1" x14ac:dyDescent="0.25">
      <c r="A145" s="8" t="str">
        <f>_xlfn.CONCAT(VLOOKUP(_xlfn.CONCAT(Table1[[#This Row],[Dimension]],Table1[[#This Row],[Measure]],Table1[[#This Row],[Indicator]]),IndicatorType[],2,FALSE),".00",Table1[[#This Row],[Figure  ]])</f>
        <v>SRV.SER.SNP.001</v>
      </c>
      <c r="B145" s="5" t="s">
        <v>480</v>
      </c>
      <c r="C145" s="6" t="s">
        <v>312</v>
      </c>
      <c r="D145" s="6" t="s">
        <v>321</v>
      </c>
      <c r="E145" s="15" t="s">
        <v>322</v>
      </c>
      <c r="F145" s="15" t="s">
        <v>230</v>
      </c>
      <c r="G145" s="6">
        <v>1</v>
      </c>
      <c r="H145" s="3" t="s">
        <v>323</v>
      </c>
      <c r="I145" s="3" t="s">
        <v>324</v>
      </c>
      <c r="J145" s="3" t="s">
        <v>21</v>
      </c>
      <c r="K145" s="3" t="s">
        <v>22</v>
      </c>
      <c r="L145" s="3" t="s">
        <v>325</v>
      </c>
      <c r="M145" s="3" t="s">
        <v>24</v>
      </c>
      <c r="N145" s="3" t="s">
        <v>326</v>
      </c>
      <c r="O145" s="3" t="s">
        <v>24</v>
      </c>
      <c r="P145" s="2"/>
      <c r="Q145" s="2"/>
    </row>
    <row r="146" spans="1:17" customFormat="1" hidden="1" x14ac:dyDescent="0.25">
      <c r="A146" s="8" t="str">
        <f>_xlfn.CONCAT(VLOOKUP(_xlfn.CONCAT(Table1[[#This Row],[Dimension]],Table1[[#This Row],[Measure]],Table1[[#This Row],[Indicator]]),IndicatorType[],2,FALSE),".00",Table1[[#This Row],[Figure  ]])</f>
        <v>SRV.SER.SNP.002</v>
      </c>
      <c r="B146" s="5" t="s">
        <v>480</v>
      </c>
      <c r="C146" s="6" t="s">
        <v>312</v>
      </c>
      <c r="D146" s="6" t="s">
        <v>321</v>
      </c>
      <c r="E146" s="15" t="s">
        <v>322</v>
      </c>
      <c r="F146" s="15" t="s">
        <v>230</v>
      </c>
      <c r="G146" s="6">
        <v>2</v>
      </c>
      <c r="H146" s="3" t="s">
        <v>327</v>
      </c>
      <c r="I146" s="3" t="s">
        <v>328</v>
      </c>
      <c r="J146" s="3" t="s">
        <v>29</v>
      </c>
      <c r="K146" s="3" t="s">
        <v>30</v>
      </c>
      <c r="L146" s="3" t="s">
        <v>325</v>
      </c>
      <c r="M146" s="3" t="s">
        <v>24</v>
      </c>
      <c r="N146" s="3" t="s">
        <v>326</v>
      </c>
      <c r="O146" s="3" t="s">
        <v>24</v>
      </c>
      <c r="P146" s="2"/>
      <c r="Q146" s="2"/>
    </row>
    <row r="147" spans="1:17" customFormat="1" x14ac:dyDescent="0.25">
      <c r="A147" s="8" t="str">
        <f>_xlfn.CONCAT(VLOOKUP(_xlfn.CONCAT(Table1[[#This Row],[Dimension]],Table1[[#This Row],[Measure]],Table1[[#This Row],[Indicator]]),IndicatorType[],2,FALSE),".00",Table1[[#This Row],[Figure  ]])</f>
        <v>SRV.SER.SNP.003</v>
      </c>
      <c r="B147" s="5" t="s">
        <v>480</v>
      </c>
      <c r="C147" s="6" t="s">
        <v>312</v>
      </c>
      <c r="D147" s="6" t="s">
        <v>321</v>
      </c>
      <c r="E147" s="15" t="s">
        <v>230</v>
      </c>
      <c r="F147" s="15" t="s">
        <v>329</v>
      </c>
      <c r="G147" s="6">
        <v>3</v>
      </c>
      <c r="H147" s="3" t="s">
        <v>330</v>
      </c>
      <c r="I147" s="3" t="s">
        <v>331</v>
      </c>
      <c r="J147" s="3" t="s">
        <v>33</v>
      </c>
      <c r="K147" s="3" t="s">
        <v>226</v>
      </c>
      <c r="L147" s="3" t="s">
        <v>332</v>
      </c>
      <c r="M147" s="3" t="s">
        <v>24</v>
      </c>
      <c r="N147" s="3" t="s">
        <v>333</v>
      </c>
      <c r="O147" s="3" t="s">
        <v>24</v>
      </c>
      <c r="P147" s="2"/>
      <c r="Q147" s="2"/>
    </row>
    <row r="148" spans="1:17" customFormat="1" hidden="1" x14ac:dyDescent="0.25">
      <c r="A148" s="8" t="str">
        <f>_xlfn.CONCAT(VLOOKUP(_xlfn.CONCAT(Table1[[#This Row],[Dimension]],Table1[[#This Row],[Measure]],Table1[[#This Row],[Indicator]]),IndicatorType[],2,FALSE),".00",Table1[[#This Row],[Figure  ]])</f>
        <v>SRV.SER.WIC.001</v>
      </c>
      <c r="B148" s="5" t="s">
        <v>480</v>
      </c>
      <c r="C148" s="6" t="s">
        <v>312</v>
      </c>
      <c r="D148" s="6" t="s">
        <v>334</v>
      </c>
      <c r="E148" s="15" t="s">
        <v>335</v>
      </c>
      <c r="F148" s="15" t="s">
        <v>230</v>
      </c>
      <c r="G148" s="6">
        <v>1</v>
      </c>
      <c r="H148" s="3" t="s">
        <v>336</v>
      </c>
      <c r="I148" s="3" t="s">
        <v>337</v>
      </c>
      <c r="J148" s="3" t="s">
        <v>21</v>
      </c>
      <c r="K148" s="3" t="s">
        <v>22</v>
      </c>
      <c r="L148" s="3" t="s">
        <v>338</v>
      </c>
      <c r="M148" s="3" t="s">
        <v>232</v>
      </c>
      <c r="N148" s="3" t="s">
        <v>339</v>
      </c>
      <c r="O148" s="3" t="s">
        <v>24</v>
      </c>
      <c r="P148" s="2"/>
      <c r="Q148" s="2"/>
    </row>
    <row r="149" spans="1:17" customFormat="1" hidden="1" x14ac:dyDescent="0.25">
      <c r="A149" s="8" t="str">
        <f>_xlfn.CONCAT(VLOOKUP(_xlfn.CONCAT(Table1[[#This Row],[Dimension]],Table1[[#This Row],[Measure]],Table1[[#This Row],[Indicator]]),IndicatorType[],2,FALSE),".00",Table1[[#This Row],[Figure  ]])</f>
        <v>SRV.SER.WIC.002</v>
      </c>
      <c r="B149" s="5" t="s">
        <v>480</v>
      </c>
      <c r="C149" s="6" t="s">
        <v>312</v>
      </c>
      <c r="D149" s="6" t="s">
        <v>334</v>
      </c>
      <c r="E149" s="15" t="s">
        <v>335</v>
      </c>
      <c r="F149" s="15" t="s">
        <v>230</v>
      </c>
      <c r="G149" s="11">
        <v>2</v>
      </c>
      <c r="H149" s="3" t="s">
        <v>340</v>
      </c>
      <c r="I149" s="3" t="s">
        <v>341</v>
      </c>
      <c r="J149" s="3" t="s">
        <v>29</v>
      </c>
      <c r="K149" s="3" t="s">
        <v>30</v>
      </c>
      <c r="L149" s="3" t="s">
        <v>338</v>
      </c>
      <c r="M149" s="3" t="s">
        <v>232</v>
      </c>
      <c r="N149" s="3" t="s">
        <v>339</v>
      </c>
      <c r="O149" s="3" t="s">
        <v>24</v>
      </c>
      <c r="P149" s="2"/>
      <c r="Q149" s="2"/>
    </row>
    <row r="150" spans="1:17" customFormat="1" x14ac:dyDescent="0.25">
      <c r="A150" s="8" t="str">
        <f>_xlfn.CONCAT(VLOOKUP(_xlfn.CONCAT(Table1[[#This Row],[Dimension]],Table1[[#This Row],[Measure]],Table1[[#This Row],[Indicator]]),IndicatorType[],2,FALSE),".00",Table1[[#This Row],[Figure  ]])</f>
        <v>SRV.SER.WIC.003</v>
      </c>
      <c r="B150" s="5" t="s">
        <v>480</v>
      </c>
      <c r="C150" s="6" t="s">
        <v>312</v>
      </c>
      <c r="D150" s="6" t="s">
        <v>334</v>
      </c>
      <c r="E150" s="15" t="s">
        <v>335</v>
      </c>
      <c r="F150" s="15" t="s">
        <v>230</v>
      </c>
      <c r="G150" s="6">
        <v>3</v>
      </c>
      <c r="H150" s="2" t="s">
        <v>342</v>
      </c>
      <c r="I150" s="2" t="s">
        <v>343</v>
      </c>
      <c r="J150" s="2" t="s">
        <v>33</v>
      </c>
      <c r="K150" s="2" t="s">
        <v>226</v>
      </c>
      <c r="L150" s="2" t="s">
        <v>344</v>
      </c>
      <c r="M150" s="2" t="s">
        <v>232</v>
      </c>
      <c r="N150" s="2" t="s">
        <v>345</v>
      </c>
      <c r="O150" s="2" t="s">
        <v>24</v>
      </c>
      <c r="P150" s="2"/>
      <c r="Q150" s="2" t="s">
        <v>346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EFB6-ACD4-4B48-AC2B-E524432976E4}">
  <dimension ref="A1:K42"/>
  <sheetViews>
    <sheetView zoomScale="95" zoomScaleNormal="95" workbookViewId="0">
      <selection activeCell="G51" sqref="G51"/>
    </sheetView>
  </sheetViews>
  <sheetFormatPr defaultRowHeight="15" x14ac:dyDescent="0.25"/>
  <cols>
    <col min="1" max="1" width="9.28515625" style="12" customWidth="1"/>
    <col min="2" max="2" width="16.85546875" style="12" bestFit="1" customWidth="1"/>
    <col min="3" max="5" width="14" style="12" customWidth="1"/>
    <col min="6" max="6" width="33.5703125" style="12" customWidth="1"/>
    <col min="7" max="7" width="33.7109375" style="12" customWidth="1"/>
    <col min="8" max="8" width="43" style="12" customWidth="1"/>
    <col min="9" max="9" width="13.7109375" style="14" customWidth="1"/>
    <col min="10" max="10" width="27.5703125" style="14" customWidth="1"/>
    <col min="11" max="11" width="15.85546875" style="14" customWidth="1"/>
    <col min="12" max="16384" width="9.140625" style="14"/>
  </cols>
  <sheetData>
    <row r="1" spans="1:11" customFormat="1" x14ac:dyDescent="0.25">
      <c r="A1" s="8" t="s">
        <v>582</v>
      </c>
      <c r="B1" s="8" t="s">
        <v>583</v>
      </c>
      <c r="C1" s="8" t="s">
        <v>570</v>
      </c>
      <c r="D1" s="8" t="s">
        <v>571</v>
      </c>
      <c r="E1" s="8" t="s">
        <v>572</v>
      </c>
      <c r="F1" s="9" t="s">
        <v>0</v>
      </c>
      <c r="G1" s="10" t="s">
        <v>1</v>
      </c>
      <c r="H1" s="10" t="s">
        <v>2</v>
      </c>
      <c r="I1" s="17" t="s">
        <v>580</v>
      </c>
      <c r="J1" s="17" t="s">
        <v>585</v>
      </c>
      <c r="K1" s="17" t="s">
        <v>586</v>
      </c>
    </row>
    <row r="2" spans="1:11" customFormat="1" x14ac:dyDescent="0.25">
      <c r="A2" s="16" t="str">
        <f>_xlfn.CONCAT(IndicatorType[[#This Row],[Dimension]],IndicatorType[[#This Row],[Measure]],IndicatorType[[#This Row],[Indicator]])</f>
        <v>DemographicChild DemographicsChild Age</v>
      </c>
      <c r="B2" s="8" t="str">
        <f>UPPER(_xlfn.CONCAT(IndicatorType[[#This Row],[CodeDim]],".",IndicatorType[[#This Row],[CodeMsr]],".",IndicatorType[[#This Row],[CodeInd]]))</f>
        <v>DEM.DEM.AGE</v>
      </c>
      <c r="C2" s="8" t="s">
        <v>522</v>
      </c>
      <c r="D2" s="8" t="s">
        <v>522</v>
      </c>
      <c r="E2" s="8" t="s">
        <v>544</v>
      </c>
      <c r="F2" s="4" t="s">
        <v>526</v>
      </c>
      <c r="G2" s="6" t="s">
        <v>90</v>
      </c>
      <c r="H2" s="6" t="s">
        <v>91</v>
      </c>
      <c r="I2" s="18" t="s">
        <v>578</v>
      </c>
      <c r="J2" s="18"/>
      <c r="K2" s="18" t="s">
        <v>587</v>
      </c>
    </row>
    <row r="3" spans="1:11" customFormat="1" x14ac:dyDescent="0.25">
      <c r="A3" s="8" t="str">
        <f>_xlfn.CONCAT(IndicatorType[[#This Row],[Dimension]],IndicatorType[[#This Row],[Measure]],IndicatorType[[#This Row],[Indicator]])</f>
        <v>DemographicChild DemographicsChild Race and Ethnicity</v>
      </c>
      <c r="B3" s="8" t="str">
        <f>UPPER(_xlfn.CONCAT(IndicatorType[[#This Row],[CodeDim]],".",IndicatorType[[#This Row],[CodeMsr]],".",IndicatorType[[#This Row],[CodeInd]]))</f>
        <v>DEM.DEM.RAC</v>
      </c>
      <c r="C3" s="8" t="s">
        <v>522</v>
      </c>
      <c r="D3" s="8" t="s">
        <v>522</v>
      </c>
      <c r="E3" s="8" t="s">
        <v>546</v>
      </c>
      <c r="F3" s="4" t="s">
        <v>526</v>
      </c>
      <c r="G3" s="6" t="s">
        <v>90</v>
      </c>
      <c r="H3" s="6" t="s">
        <v>96</v>
      </c>
      <c r="I3" s="18" t="s">
        <v>578</v>
      </c>
      <c r="J3" s="18"/>
      <c r="K3" s="18" t="s">
        <v>587</v>
      </c>
    </row>
    <row r="4" spans="1:11" customFormat="1" x14ac:dyDescent="0.25">
      <c r="A4" s="8" t="str">
        <f>_xlfn.CONCAT(IndicatorType[[#This Row],[Dimension]],IndicatorType[[#This Row],[Measure]],IndicatorType[[#This Row],[Indicator]])</f>
        <v>DemographicHousehold CharacteristicsFirst Time Mother</v>
      </c>
      <c r="B4" s="8" t="str">
        <f>UPPER(_xlfn.CONCAT(IndicatorType[[#This Row],[CodeDim]],".",IndicatorType[[#This Row],[CodeMsr]],".",IndicatorType[[#This Row],[CodeInd]]))</f>
        <v>DEM.HSE.FTM</v>
      </c>
      <c r="C4" s="8" t="s">
        <v>522</v>
      </c>
      <c r="D4" s="8" t="s">
        <v>532</v>
      </c>
      <c r="E4" s="8" t="s">
        <v>581</v>
      </c>
      <c r="F4" s="4" t="s">
        <v>526</v>
      </c>
      <c r="G4" s="6" t="s">
        <v>100</v>
      </c>
      <c r="H4" s="6" t="s">
        <v>109</v>
      </c>
      <c r="I4" s="18" t="s">
        <v>578</v>
      </c>
      <c r="J4" s="18" t="s">
        <v>588</v>
      </c>
      <c r="K4" s="18" t="s">
        <v>589</v>
      </c>
    </row>
    <row r="5" spans="1:11" customFormat="1" x14ac:dyDescent="0.25">
      <c r="A5" s="8" t="str">
        <f>_xlfn.CONCAT(IndicatorType[[#This Row],[Dimension]],IndicatorType[[#This Row],[Measure]],IndicatorType[[#This Row],[Indicator]])</f>
        <v>DemographicHousehold CharacteristicsLanguage Spoken at Home</v>
      </c>
      <c r="B5" s="8" t="str">
        <f>UPPER(_xlfn.CONCAT(IndicatorType[[#This Row],[CodeDim]],".",IndicatorType[[#This Row],[CodeMsr]],".",IndicatorType[[#This Row],[CodeInd]]))</f>
        <v>DEM.HSE.LNG</v>
      </c>
      <c r="C5" s="8" t="s">
        <v>522</v>
      </c>
      <c r="D5" s="8" t="s">
        <v>532</v>
      </c>
      <c r="E5" s="8" t="s">
        <v>557</v>
      </c>
      <c r="F5" s="4" t="s">
        <v>526</v>
      </c>
      <c r="G5" s="6" t="s">
        <v>100</v>
      </c>
      <c r="H5" s="6" t="s">
        <v>121</v>
      </c>
      <c r="I5" s="18" t="s">
        <v>578</v>
      </c>
      <c r="J5" s="18"/>
      <c r="K5" s="18" t="s">
        <v>587</v>
      </c>
    </row>
    <row r="6" spans="1:11" customFormat="1" x14ac:dyDescent="0.25">
      <c r="A6" s="8" t="str">
        <f>_xlfn.CONCAT(IndicatorType[[#This Row],[Dimension]],IndicatorType[[#This Row],[Measure]],IndicatorType[[#This Row],[Indicator]])</f>
        <v>DemographicHousehold CharacteristicsWork Schedules</v>
      </c>
      <c r="B6" s="8" t="str">
        <f>UPPER(_xlfn.CONCAT(IndicatorType[[#This Row],[CodeDim]],".",IndicatorType[[#This Row],[CodeMsr]],".",IndicatorType[[#This Row],[CodeInd]]))</f>
        <v>DEM.HSE.SCH</v>
      </c>
      <c r="C6" s="8" t="s">
        <v>522</v>
      </c>
      <c r="D6" s="8" t="s">
        <v>532</v>
      </c>
      <c r="E6" s="8" t="s">
        <v>569</v>
      </c>
      <c r="F6" s="4" t="s">
        <v>526</v>
      </c>
      <c r="G6" s="6" t="s">
        <v>100</v>
      </c>
      <c r="H6" s="6" t="s">
        <v>383</v>
      </c>
      <c r="I6" s="18" t="s">
        <v>578</v>
      </c>
      <c r="J6" s="18"/>
      <c r="K6" s="18" t="s">
        <v>587</v>
      </c>
    </row>
    <row r="7" spans="1:11" customFormat="1" x14ac:dyDescent="0.25">
      <c r="A7" s="8" t="str">
        <f>_xlfn.CONCAT(IndicatorType[[#This Row],[Dimension]],IndicatorType[[#This Row],[Measure]],IndicatorType[[#This Row],[Indicator]])</f>
        <v>DemographicHousehold CharacteristicsTechnology Access</v>
      </c>
      <c r="B7" s="8" t="str">
        <f>UPPER(_xlfn.CONCAT(IndicatorType[[#This Row],[CodeDim]],".",IndicatorType[[#This Row],[CodeMsr]],".",IndicatorType[[#This Row],[CodeInd]]))</f>
        <v>DEM.HSE.TCH</v>
      </c>
      <c r="C7" s="8" t="s">
        <v>522</v>
      </c>
      <c r="D7" s="8" t="s">
        <v>532</v>
      </c>
      <c r="E7" s="8" t="s">
        <v>565</v>
      </c>
      <c r="F7" s="4" t="s">
        <v>526</v>
      </c>
      <c r="G7" s="6" t="s">
        <v>100</v>
      </c>
      <c r="H7" s="7" t="s">
        <v>443</v>
      </c>
      <c r="I7" s="18" t="s">
        <v>578</v>
      </c>
      <c r="J7" s="18"/>
      <c r="K7" s="18" t="s">
        <v>587</v>
      </c>
    </row>
    <row r="8" spans="1:11" customFormat="1" x14ac:dyDescent="0.25">
      <c r="A8" s="8" t="str">
        <f>_xlfn.CONCAT(IndicatorType[[#This Row],[Dimension]],IndicatorType[[#This Row],[Measure]],IndicatorType[[#This Row],[Indicator]])</f>
        <v>DemographicHousehold CharacteristicsTransportation</v>
      </c>
      <c r="B8" s="8" t="str">
        <f>UPPER(_xlfn.CONCAT(IndicatorType[[#This Row],[CodeDim]],".",IndicatorType[[#This Row],[CodeMsr]],".",IndicatorType[[#This Row],[CodeInd]]))</f>
        <v>DEM.HSE.TRN</v>
      </c>
      <c r="C8" s="8" t="s">
        <v>522</v>
      </c>
      <c r="D8" s="8" t="s">
        <v>532</v>
      </c>
      <c r="E8" s="8" t="s">
        <v>566</v>
      </c>
      <c r="F8" s="4" t="s">
        <v>526</v>
      </c>
      <c r="G8" s="6" t="s">
        <v>100</v>
      </c>
      <c r="H8" s="6" t="s">
        <v>492</v>
      </c>
      <c r="I8" s="18" t="s">
        <v>578</v>
      </c>
      <c r="J8" s="18"/>
      <c r="K8" s="18" t="s">
        <v>587</v>
      </c>
    </row>
    <row r="9" spans="1:11" customFormat="1" x14ac:dyDescent="0.25">
      <c r="A9" s="8" t="str">
        <f>_xlfn.CONCAT(IndicatorType[[#This Row],[Dimension]],IndicatorType[[#This Row],[Measure]],IndicatorType[[#This Row],[Indicator]])</f>
        <v>DemographicHousehold CharacteristicsHousehold Type</v>
      </c>
      <c r="B9" s="8" t="str">
        <f>UPPER(_xlfn.CONCAT(IndicatorType[[#This Row],[CodeDim]],".",IndicatorType[[#This Row],[CodeMsr]],".",IndicatorType[[#This Row],[CodeInd]]))</f>
        <v>DEM.HSE.TYP</v>
      </c>
      <c r="C9" s="8" t="s">
        <v>522</v>
      </c>
      <c r="D9" s="8" t="s">
        <v>532</v>
      </c>
      <c r="E9" s="8" t="s">
        <v>554</v>
      </c>
      <c r="F9" s="4" t="s">
        <v>526</v>
      </c>
      <c r="G9" s="6" t="s">
        <v>100</v>
      </c>
      <c r="H9" s="6" t="s">
        <v>101</v>
      </c>
      <c r="I9" s="18" t="s">
        <v>578</v>
      </c>
      <c r="J9" s="18"/>
      <c r="K9" s="18" t="s">
        <v>587</v>
      </c>
    </row>
    <row r="10" spans="1:11" customFormat="1" x14ac:dyDescent="0.25">
      <c r="A10" s="8" t="str">
        <f>_xlfn.CONCAT(IndicatorType[[#This Row],[Dimension]],IndicatorType[[#This Row],[Measure]],IndicatorType[[#This Row],[Indicator]])</f>
        <v>DemographicHousehold CharacteristicsWorking Parents</v>
      </c>
      <c r="B10" s="8" t="str">
        <f>UPPER(_xlfn.CONCAT(IndicatorType[[#This Row],[CodeDim]],".",IndicatorType[[#This Row],[CodeMsr]],".",IndicatorType[[#This Row],[CodeInd]]))</f>
        <v>DEM.HSE.WRK</v>
      </c>
      <c r="C10" s="8" t="s">
        <v>522</v>
      </c>
      <c r="D10" s="8" t="s">
        <v>532</v>
      </c>
      <c r="E10" s="8" t="s">
        <v>568</v>
      </c>
      <c r="F10" s="4" t="s">
        <v>526</v>
      </c>
      <c r="G10" s="6" t="s">
        <v>100</v>
      </c>
      <c r="H10" s="6" t="s">
        <v>434</v>
      </c>
      <c r="I10" s="18" t="s">
        <v>578</v>
      </c>
      <c r="J10" s="18"/>
      <c r="K10" s="18" t="s">
        <v>587</v>
      </c>
    </row>
    <row r="11" spans="1:11" customFormat="1" x14ac:dyDescent="0.25">
      <c r="A11" s="8" t="str">
        <f>_xlfn.CONCAT(IndicatorType[[#This Row],[Dimension]],IndicatorType[[#This Row],[Measure]],IndicatorType[[#This Row],[Indicator]])</f>
        <v>EconomicAll People in PovertyFederal Poverty Level (FPL)</v>
      </c>
      <c r="B11" s="8" t="str">
        <f>UPPER(_xlfn.CONCAT(IndicatorType[[#This Row],[CodeDim]],".",IndicatorType[[#This Row],[CodeMsr]],".",IndicatorType[[#This Row],[CodeInd]]))</f>
        <v>ECO.APP.FPL</v>
      </c>
      <c r="C11" s="8" t="s">
        <v>523</v>
      </c>
      <c r="D11" s="8" t="s">
        <v>528</v>
      </c>
      <c r="E11" s="8" t="s">
        <v>573</v>
      </c>
      <c r="F11" s="4" t="s">
        <v>16</v>
      </c>
      <c r="G11" s="6" t="s">
        <v>56</v>
      </c>
      <c r="H11" s="6" t="s">
        <v>18</v>
      </c>
      <c r="I11" s="18" t="s">
        <v>578</v>
      </c>
      <c r="J11" s="18"/>
      <c r="K11" s="18" t="s">
        <v>587</v>
      </c>
    </row>
    <row r="12" spans="1:11" customFormat="1" x14ac:dyDescent="0.25">
      <c r="A12" s="8" t="str">
        <f>_xlfn.CONCAT(IndicatorType[[#This Row],[Dimension]],IndicatorType[[#This Row],[Measure]],IndicatorType[[#This Row],[Indicator]])</f>
        <v>EconomicChildren in PovertyFederal Poverty Level (FPL)</v>
      </c>
      <c r="B12" s="8" t="str">
        <f>UPPER(_xlfn.CONCAT(IndicatorType[[#This Row],[CodeDim]],".",IndicatorType[[#This Row],[CodeMsr]],".",IndicatorType[[#This Row],[CodeInd]]))</f>
        <v>ECO.CIP.FPL</v>
      </c>
      <c r="C12" s="8" t="s">
        <v>523</v>
      </c>
      <c r="D12" s="8" t="s">
        <v>529</v>
      </c>
      <c r="E12" s="8" t="s">
        <v>573</v>
      </c>
      <c r="F12" s="4" t="s">
        <v>16</v>
      </c>
      <c r="G12" s="6" t="s">
        <v>17</v>
      </c>
      <c r="H12" s="6" t="s">
        <v>18</v>
      </c>
      <c r="I12" s="18" t="s">
        <v>578</v>
      </c>
      <c r="J12" s="18"/>
      <c r="K12" s="18" t="s">
        <v>587</v>
      </c>
    </row>
    <row r="13" spans="1:11" customFormat="1" x14ac:dyDescent="0.25">
      <c r="A13" s="8" t="str">
        <f>_xlfn.CONCAT(IndicatorType[[#This Row],[Dimension]],IndicatorType[[#This Row],[Measure]],IndicatorType[[#This Row],[Indicator]])</f>
        <v>EconomicChildren in PovertyFree or Reduced Price Lunch (FRPL)</v>
      </c>
      <c r="B13" s="8" t="str">
        <f>UPPER(_xlfn.CONCAT(IndicatorType[[#This Row],[CodeDim]],".",IndicatorType[[#This Row],[CodeMsr]],".",IndicatorType[[#This Row],[CodeInd]]))</f>
        <v>ECO.CIP.FRL</v>
      </c>
      <c r="C13" s="8" t="s">
        <v>523</v>
      </c>
      <c r="D13" s="8" t="s">
        <v>529</v>
      </c>
      <c r="E13" s="8" t="s">
        <v>574</v>
      </c>
      <c r="F13" s="4" t="s">
        <v>16</v>
      </c>
      <c r="G13" s="6" t="s">
        <v>17</v>
      </c>
      <c r="H13" s="6" t="s">
        <v>36</v>
      </c>
      <c r="I13" s="18" t="s">
        <v>578</v>
      </c>
      <c r="J13" s="18"/>
      <c r="K13" s="18" t="s">
        <v>587</v>
      </c>
    </row>
    <row r="14" spans="1:11" customFormat="1" x14ac:dyDescent="0.25">
      <c r="A14" s="8" t="str">
        <f>_xlfn.CONCAT(IndicatorType[[#This Row],[Dimension]],IndicatorType[[#This Row],[Measure]],IndicatorType[[#This Row],[Indicator]])</f>
        <v>EconomicChildren in PovertyMedicaid or WIC Receipt at Birth</v>
      </c>
      <c r="B14" s="8" t="str">
        <f>UPPER(_xlfn.CONCAT(IndicatorType[[#This Row],[CodeDim]],".",IndicatorType[[#This Row],[CodeMsr]],".",IndicatorType[[#This Row],[CodeInd]]))</f>
        <v>ECO.CIP.MOW</v>
      </c>
      <c r="C14" s="8" t="s">
        <v>523</v>
      </c>
      <c r="D14" s="8" t="s">
        <v>529</v>
      </c>
      <c r="E14" s="8" t="s">
        <v>560</v>
      </c>
      <c r="F14" s="4" t="s">
        <v>16</v>
      </c>
      <c r="G14" s="6" t="s">
        <v>17</v>
      </c>
      <c r="H14" s="6" t="s">
        <v>44</v>
      </c>
      <c r="I14" s="18" t="s">
        <v>578</v>
      </c>
      <c r="J14" s="18" t="s">
        <v>590</v>
      </c>
      <c r="K14" s="18" t="s">
        <v>589</v>
      </c>
    </row>
    <row r="15" spans="1:11" customFormat="1" x14ac:dyDescent="0.25">
      <c r="A15" s="8" t="str">
        <f>_xlfn.CONCAT(IndicatorType[[#This Row],[Dimension]],IndicatorType[[#This Row],[Measure]],IndicatorType[[#This Row],[Indicator]])</f>
        <v>EconomicHomelessnessPoint in Time (PIT)</v>
      </c>
      <c r="B15" s="8" t="str">
        <f>UPPER(_xlfn.CONCAT(IndicatorType[[#This Row],[CodeDim]],".",IndicatorType[[#This Row],[CodeMsr]],".",IndicatorType[[#This Row],[CodeInd]]))</f>
        <v>ECO.HOM.PIT</v>
      </c>
      <c r="C15" s="8" t="s">
        <v>523</v>
      </c>
      <c r="D15" s="8" t="s">
        <v>530</v>
      </c>
      <c r="E15" s="8" t="s">
        <v>561</v>
      </c>
      <c r="F15" s="4" t="s">
        <v>16</v>
      </c>
      <c r="G15" s="6" t="s">
        <v>73</v>
      </c>
      <c r="H15" s="6" t="s">
        <v>74</v>
      </c>
      <c r="I15" s="18" t="s">
        <v>579</v>
      </c>
      <c r="J15" s="18"/>
      <c r="K15" s="18" t="s">
        <v>587</v>
      </c>
    </row>
    <row r="16" spans="1:11" customFormat="1" x14ac:dyDescent="0.25">
      <c r="A16" s="8" t="str">
        <f>_xlfn.CONCAT(IndicatorType[[#This Row],[Dimension]],IndicatorType[[#This Row],[Measure]],IndicatorType[[#This Row],[Indicator]])</f>
        <v>EconomicHomelessnessStudents Facing Homelessness</v>
      </c>
      <c r="B16" s="8" t="str">
        <f>UPPER(_xlfn.CONCAT(IndicatorType[[#This Row],[CodeDim]],".",IndicatorType[[#This Row],[CodeMsr]],".",IndicatorType[[#This Row],[CodeInd]]))</f>
        <v>ECO.HOM.SEH</v>
      </c>
      <c r="C16" s="8" t="s">
        <v>523</v>
      </c>
      <c r="D16" s="8" t="s">
        <v>530</v>
      </c>
      <c r="E16" s="8" t="s">
        <v>576</v>
      </c>
      <c r="F16" s="4" t="s">
        <v>16</v>
      </c>
      <c r="G16" s="6" t="s">
        <v>73</v>
      </c>
      <c r="H16" s="6" t="s">
        <v>86</v>
      </c>
      <c r="I16" s="18" t="s">
        <v>578</v>
      </c>
      <c r="J16" s="18"/>
      <c r="K16" s="18" t="s">
        <v>587</v>
      </c>
    </row>
    <row r="17" spans="1:11" customFormat="1" x14ac:dyDescent="0.25">
      <c r="A17" s="8" t="str">
        <f>_xlfn.CONCAT(IndicatorType[[#This Row],[Dimension]],IndicatorType[[#This Row],[Measure]],IndicatorType[[#This Row],[Indicator]])</f>
        <v>EconomicUnemploymentUnemployment</v>
      </c>
      <c r="B17" s="8" t="str">
        <f>UPPER(_xlfn.CONCAT(IndicatorType[[#This Row],[CodeDim]],".",IndicatorType[[#This Row],[CodeMsr]],".",IndicatorType[[#This Row],[CodeInd]]))</f>
        <v>ECO.UNE.UER</v>
      </c>
      <c r="C17" s="8" t="s">
        <v>523</v>
      </c>
      <c r="D17" s="8" t="s">
        <v>531</v>
      </c>
      <c r="E17" s="8" t="s">
        <v>567</v>
      </c>
      <c r="F17" s="4" t="s">
        <v>16</v>
      </c>
      <c r="G17" s="6" t="s">
        <v>66</v>
      </c>
      <c r="H17" s="6" t="s">
        <v>66</v>
      </c>
      <c r="I17" s="18" t="s">
        <v>578</v>
      </c>
      <c r="J17" s="18"/>
      <c r="K17" s="18" t="s">
        <v>587</v>
      </c>
    </row>
    <row r="18" spans="1:11" customFormat="1" x14ac:dyDescent="0.25">
      <c r="A18" s="8" t="str">
        <f>_xlfn.CONCAT(IndicatorType[[#This Row],[Dimension]],IndicatorType[[#This Row],[Measure]],IndicatorType[[#This Row],[Indicator]])</f>
        <v>Health and Social NeedsChild HealthChild Abuse or Neglect</v>
      </c>
      <c r="B18" s="8" t="str">
        <f>UPPER(_xlfn.CONCAT(IndicatorType[[#This Row],[CodeDim]],".",IndicatorType[[#This Row],[CodeMsr]],".",IndicatorType[[#This Row],[CodeInd]]))</f>
        <v>HSN.CHL.CAN</v>
      </c>
      <c r="C18" s="8" t="s">
        <v>524</v>
      </c>
      <c r="D18" s="8" t="s">
        <v>534</v>
      </c>
      <c r="E18" s="8" t="s">
        <v>543</v>
      </c>
      <c r="F18" s="4" t="s">
        <v>129</v>
      </c>
      <c r="G18" s="6" t="s">
        <v>228</v>
      </c>
      <c r="H18" s="6" t="s">
        <v>463</v>
      </c>
      <c r="I18" s="18" t="s">
        <v>579</v>
      </c>
      <c r="J18" s="18"/>
      <c r="K18" s="18" t="s">
        <v>587</v>
      </c>
    </row>
    <row r="19" spans="1:11" customFormat="1" x14ac:dyDescent="0.25">
      <c r="A19" s="8" t="str">
        <f>_xlfn.CONCAT(IndicatorType[[#This Row],[Dimension]],IndicatorType[[#This Row],[Measure]],IndicatorType[[#This Row],[Indicator]])</f>
        <v>Health and Social NeedsChild HealthImmunizations</v>
      </c>
      <c r="B19" s="8" t="str">
        <f>UPPER(_xlfn.CONCAT(IndicatorType[[#This Row],[CodeDim]],".",IndicatorType[[#This Row],[CodeMsr]],".",IndicatorType[[#This Row],[CodeInd]]))</f>
        <v>HSN.CHL.IMM</v>
      </c>
      <c r="C19" s="8" t="s">
        <v>524</v>
      </c>
      <c r="D19" s="8" t="s">
        <v>534</v>
      </c>
      <c r="E19" s="8" t="s">
        <v>555</v>
      </c>
      <c r="F19" s="4" t="s">
        <v>129</v>
      </c>
      <c r="G19" s="6" t="s">
        <v>228</v>
      </c>
      <c r="H19" s="6" t="s">
        <v>210</v>
      </c>
      <c r="I19" s="18" t="s">
        <v>578</v>
      </c>
      <c r="J19" s="18"/>
      <c r="K19" s="18" t="s">
        <v>587</v>
      </c>
    </row>
    <row r="20" spans="1:11" customFormat="1" x14ac:dyDescent="0.25">
      <c r="A20" s="8" t="str">
        <f>_xlfn.CONCAT(IndicatorType[[#This Row],[Dimension]],IndicatorType[[#This Row],[Measure]],IndicatorType[[#This Row],[Indicator]])</f>
        <v>Health and Social NeedsCommunity CrimeAlcohol and Drug-Related Crime</v>
      </c>
      <c r="B20" s="8" t="str">
        <f>UPPER(_xlfn.CONCAT(IndicatorType[[#This Row],[CodeDim]],".",IndicatorType[[#This Row],[CodeMsr]],".",IndicatorType[[#This Row],[CodeInd]]))</f>
        <v>HSN.CRM.ADR</v>
      </c>
      <c r="C20" s="8" t="s">
        <v>524</v>
      </c>
      <c r="D20" s="8" t="s">
        <v>537</v>
      </c>
      <c r="E20" s="8" t="s">
        <v>540</v>
      </c>
      <c r="F20" s="4" t="s">
        <v>129</v>
      </c>
      <c r="G20" s="6" t="s">
        <v>283</v>
      </c>
      <c r="H20" s="6" t="s">
        <v>292</v>
      </c>
      <c r="I20" s="18" t="s">
        <v>579</v>
      </c>
      <c r="J20" s="18"/>
      <c r="K20" s="18" t="s">
        <v>587</v>
      </c>
    </row>
    <row r="21" spans="1:11" customFormat="1" x14ac:dyDescent="0.25">
      <c r="A21" s="8" t="str">
        <f>_xlfn.CONCAT(IndicatorType[[#This Row],[Dimension]],IndicatorType[[#This Row],[Measure]],IndicatorType[[#This Row],[Indicator]])</f>
        <v>Health and Social NeedsCommunity CrimeArrest</v>
      </c>
      <c r="B21" s="8" t="str">
        <f>UPPER(_xlfn.CONCAT(IndicatorType[[#This Row],[CodeDim]],".",IndicatorType[[#This Row],[CodeMsr]],".",IndicatorType[[#This Row],[CodeInd]]))</f>
        <v>HSN.CRM.ARR</v>
      </c>
      <c r="C21" s="8" t="s">
        <v>524</v>
      </c>
      <c r="D21" s="8" t="s">
        <v>537</v>
      </c>
      <c r="E21" s="8" t="s">
        <v>539</v>
      </c>
      <c r="F21" s="4" t="s">
        <v>129</v>
      </c>
      <c r="G21" s="6" t="s">
        <v>283</v>
      </c>
      <c r="H21" s="6" t="s">
        <v>479</v>
      </c>
      <c r="I21" s="18" t="s">
        <v>579</v>
      </c>
      <c r="J21" s="18"/>
      <c r="K21" s="18" t="s">
        <v>587</v>
      </c>
    </row>
    <row r="22" spans="1:11" customFormat="1" x14ac:dyDescent="0.25">
      <c r="A22" s="8" t="str">
        <f>_xlfn.CONCAT(IndicatorType[[#This Row],[Dimension]],IndicatorType[[#This Row],[Measure]],IndicatorType[[#This Row],[Indicator]])</f>
        <v>Health and Social NeedsCommunity CrimeDomestic Violence</v>
      </c>
      <c r="B22" s="8" t="str">
        <f>UPPER(_xlfn.CONCAT(IndicatorType[[#This Row],[CodeDim]],".",IndicatorType[[#This Row],[CodeMsr]],".",IndicatorType[[#This Row],[CodeInd]]))</f>
        <v>HSN.CRM.DMV</v>
      </c>
      <c r="C22" s="8" t="s">
        <v>524</v>
      </c>
      <c r="D22" s="8" t="s">
        <v>537</v>
      </c>
      <c r="E22" s="8" t="s">
        <v>550</v>
      </c>
      <c r="F22" s="4" t="s">
        <v>129</v>
      </c>
      <c r="G22" s="6" t="s">
        <v>283</v>
      </c>
      <c r="H22" s="6" t="s">
        <v>493</v>
      </c>
      <c r="I22" s="18" t="s">
        <v>579</v>
      </c>
      <c r="J22" s="18"/>
      <c r="K22" s="18" t="s">
        <v>587</v>
      </c>
    </row>
    <row r="23" spans="1:11" customFormat="1" x14ac:dyDescent="0.25">
      <c r="A23" s="8" t="str">
        <f>_xlfn.CONCAT(IndicatorType[[#This Row],[Dimension]],IndicatorType[[#This Row],[Measure]],IndicatorType[[#This Row],[Indicator]])</f>
        <v>Health and Social NeedsCommunity CrimeSerious Crime</v>
      </c>
      <c r="B23" s="8" t="str">
        <f>UPPER(_xlfn.CONCAT(IndicatorType[[#This Row],[CodeDim]],".",IndicatorType[[#This Row],[CodeMsr]],".",IndicatorType[[#This Row],[CodeInd]]))</f>
        <v>HSN.CRM.SER</v>
      </c>
      <c r="C23" s="8" t="s">
        <v>524</v>
      </c>
      <c r="D23" s="8" t="s">
        <v>537</v>
      </c>
      <c r="E23" s="8" t="s">
        <v>538</v>
      </c>
      <c r="F23" s="4" t="s">
        <v>129</v>
      </c>
      <c r="G23" s="6" t="s">
        <v>283</v>
      </c>
      <c r="H23" s="6" t="s">
        <v>284</v>
      </c>
      <c r="I23" s="18" t="s">
        <v>579</v>
      </c>
      <c r="J23" s="18"/>
      <c r="K23" s="18" t="s">
        <v>587</v>
      </c>
    </row>
    <row r="24" spans="1:11" customFormat="1" x14ac:dyDescent="0.25">
      <c r="A24" s="8" t="str">
        <f>_xlfn.CONCAT(IndicatorType[[#This Row],[Dimension]],IndicatorType[[#This Row],[Measure]],IndicatorType[[#This Row],[Indicator]])</f>
        <v>Health and Social NeedsDisabilitiesDisabilities</v>
      </c>
      <c r="B24" s="8" t="str">
        <f>UPPER(_xlfn.CONCAT(IndicatorType[[#This Row],[CodeDim]],".",IndicatorType[[#This Row],[CodeMsr]],".",IndicatorType[[#This Row],[CodeInd]]))</f>
        <v>HSN.DIS.CDS</v>
      </c>
      <c r="C24" s="8" t="s">
        <v>524</v>
      </c>
      <c r="D24" s="8" t="s">
        <v>535</v>
      </c>
      <c r="E24" s="8" t="s">
        <v>549</v>
      </c>
      <c r="F24" s="4" t="s">
        <v>129</v>
      </c>
      <c r="G24" s="6" t="s">
        <v>237</v>
      </c>
      <c r="H24" s="6" t="s">
        <v>237</v>
      </c>
      <c r="I24" s="18" t="s">
        <v>578</v>
      </c>
      <c r="J24" s="18"/>
      <c r="K24" s="18" t="s">
        <v>587</v>
      </c>
    </row>
    <row r="25" spans="1:11" customFormat="1" x14ac:dyDescent="0.25">
      <c r="A25" s="8" t="str">
        <f>_xlfn.CONCAT(IndicatorType[[#This Row],[Dimension]],IndicatorType[[#This Row],[Measure]],IndicatorType[[#This Row],[Indicator]])</f>
        <v>Health and Social NeedsEducationMaternal Education</v>
      </c>
      <c r="B25" s="8" t="str">
        <f>UPPER(_xlfn.CONCAT(IndicatorType[[#This Row],[CodeDim]],".",IndicatorType[[#This Row],[CodeMsr]],".",IndicatorType[[#This Row],[CodeInd]]))</f>
        <v>HSN.EDU.EAM</v>
      </c>
      <c r="C25" s="8" t="s">
        <v>524</v>
      </c>
      <c r="D25" s="8" t="s">
        <v>536</v>
      </c>
      <c r="E25" s="8" t="s">
        <v>559</v>
      </c>
      <c r="F25" s="4" t="s">
        <v>129</v>
      </c>
      <c r="G25" s="6" t="s">
        <v>527</v>
      </c>
      <c r="H25" s="6" t="s">
        <v>260</v>
      </c>
      <c r="I25" s="18" t="s">
        <v>578</v>
      </c>
      <c r="J25" s="18"/>
      <c r="K25" s="18" t="s">
        <v>589</v>
      </c>
    </row>
    <row r="26" spans="1:11" customFormat="1" x14ac:dyDescent="0.25">
      <c r="A26" s="8" t="str">
        <f>_xlfn.CONCAT(IndicatorType[[#This Row],[Dimension]],IndicatorType[[#This Row],[Measure]],IndicatorType[[#This Row],[Indicator]])</f>
        <v>Health and Social NeedsEducationEarly Literacy Skills</v>
      </c>
      <c r="B26" s="8" t="str">
        <f>UPPER(_xlfn.CONCAT(IndicatorType[[#This Row],[CodeDim]],".",IndicatorType[[#This Row],[CodeMsr]],".",IndicatorType[[#This Row],[CodeInd]]))</f>
        <v>HSN.EDU.ELS</v>
      </c>
      <c r="C26" s="8" t="s">
        <v>524</v>
      </c>
      <c r="D26" s="8" t="s">
        <v>536</v>
      </c>
      <c r="E26" s="8" t="s">
        <v>575</v>
      </c>
      <c r="F26" s="4" t="s">
        <v>129</v>
      </c>
      <c r="G26" s="6" t="s">
        <v>527</v>
      </c>
      <c r="H26" s="6" t="s">
        <v>267</v>
      </c>
      <c r="I26" s="18" t="s">
        <v>578</v>
      </c>
      <c r="J26" s="18"/>
      <c r="K26" s="18" t="s">
        <v>587</v>
      </c>
    </row>
    <row r="27" spans="1:11" customFormat="1" x14ac:dyDescent="0.25">
      <c r="A27" s="8" t="str">
        <f>_xlfn.CONCAT(IndicatorType[[#This Row],[Dimension]],IndicatorType[[#This Row],[Measure]],IndicatorType[[#This Row],[Indicator]])</f>
        <v>Health and Social NeedsEducationDropout Rate</v>
      </c>
      <c r="B27" s="8" t="str">
        <f>UPPER(_xlfn.CONCAT(IndicatorType[[#This Row],[CodeDim]],".",IndicatorType[[#This Row],[CodeMsr]],".",IndicatorType[[#This Row],[CodeInd]]))</f>
        <v>HSN.EDU.HDP</v>
      </c>
      <c r="C27" s="8" t="s">
        <v>524</v>
      </c>
      <c r="D27" s="8" t="s">
        <v>536</v>
      </c>
      <c r="E27" s="8" t="s">
        <v>553</v>
      </c>
      <c r="F27" s="4" t="s">
        <v>129</v>
      </c>
      <c r="G27" s="6" t="s">
        <v>527</v>
      </c>
      <c r="H27" s="6" t="s">
        <v>271</v>
      </c>
      <c r="I27" s="18" t="s">
        <v>578</v>
      </c>
      <c r="J27" s="18"/>
      <c r="K27" s="18" t="s">
        <v>587</v>
      </c>
    </row>
    <row r="28" spans="1:11" customFormat="1" x14ac:dyDescent="0.25">
      <c r="A28" s="8" t="str">
        <f>_xlfn.CONCAT(IndicatorType[[#This Row],[Dimension]],IndicatorType[[#This Row],[Measure]],IndicatorType[[#This Row],[Indicator]])</f>
        <v>Health and Social NeedsEducationSchool Enrollment</v>
      </c>
      <c r="B28" s="8" t="str">
        <f>UPPER(_xlfn.CONCAT(IndicatorType[[#This Row],[CodeDim]],".",IndicatorType[[#This Row],[CodeMsr]],".",IndicatorType[[#This Row],[CodeInd]]))</f>
        <v>HSN.EDU.SCH</v>
      </c>
      <c r="C28" s="8" t="s">
        <v>524</v>
      </c>
      <c r="D28" s="8" t="s">
        <v>536</v>
      </c>
      <c r="E28" s="8" t="s">
        <v>569</v>
      </c>
      <c r="F28" s="4" t="s">
        <v>129</v>
      </c>
      <c r="G28" s="6" t="s">
        <v>527</v>
      </c>
      <c r="H28" s="6" t="s">
        <v>251</v>
      </c>
      <c r="I28" s="18" t="s">
        <v>578</v>
      </c>
      <c r="J28" s="18"/>
      <c r="K28" s="18" t="s">
        <v>587</v>
      </c>
    </row>
    <row r="29" spans="1:11" customFormat="1" x14ac:dyDescent="0.25">
      <c r="A29" s="8" t="str">
        <f>_xlfn.CONCAT(IndicatorType[[#This Row],[Dimension]],IndicatorType[[#This Row],[Measure]],IndicatorType[[#This Row],[Indicator]])</f>
        <v>Health and Social NeedsBirth RisksBirth to Teenage Mother</v>
      </c>
      <c r="B29" s="8" t="str">
        <f>UPPER(_xlfn.CONCAT(IndicatorType[[#This Row],[CodeDim]],".",IndicatorType[[#This Row],[CodeMsr]],".",IndicatorType[[#This Row],[CodeInd]]))</f>
        <v>HSN.RSK.BTM</v>
      </c>
      <c r="C29" s="8" t="s">
        <v>524</v>
      </c>
      <c r="D29" s="8" t="s">
        <v>533</v>
      </c>
      <c r="E29" s="8" t="s">
        <v>541</v>
      </c>
      <c r="F29" s="4" t="s">
        <v>129</v>
      </c>
      <c r="G29" s="6" t="s">
        <v>130</v>
      </c>
      <c r="H29" s="6" t="s">
        <v>131</v>
      </c>
      <c r="I29" s="18" t="s">
        <v>578</v>
      </c>
      <c r="J29" s="18"/>
      <c r="K29" s="18" t="s">
        <v>589</v>
      </c>
    </row>
    <row r="30" spans="1:11" customFormat="1" x14ac:dyDescent="0.25">
      <c r="A30" s="8" t="str">
        <f>_xlfn.CONCAT(IndicatorType[[#This Row],[Dimension]],IndicatorType[[#This Row],[Measure]],IndicatorType[[#This Row],[Indicator]])</f>
        <v>Health and Social NeedsBirth RisksBirth to Unmarried Mother</v>
      </c>
      <c r="B30" s="8" t="str">
        <f>UPPER(_xlfn.CONCAT(IndicatorType[[#This Row],[CodeDim]],".",IndicatorType[[#This Row],[CodeMsr]],".",IndicatorType[[#This Row],[CodeInd]]))</f>
        <v>HSN.RSK.BUM</v>
      </c>
      <c r="C30" s="8" t="s">
        <v>524</v>
      </c>
      <c r="D30" s="8" t="s">
        <v>533</v>
      </c>
      <c r="E30" s="8" t="s">
        <v>542</v>
      </c>
      <c r="F30" s="4" t="s">
        <v>129</v>
      </c>
      <c r="G30" s="6" t="s">
        <v>130</v>
      </c>
      <c r="H30" s="6" t="s">
        <v>137</v>
      </c>
      <c r="I30" s="18" t="s">
        <v>578</v>
      </c>
      <c r="J30" s="18"/>
      <c r="K30" s="18" t="s">
        <v>589</v>
      </c>
    </row>
    <row r="31" spans="1:11" customFormat="1" x14ac:dyDescent="0.25">
      <c r="A31" s="8" t="str">
        <f>_xlfn.CONCAT(IndicatorType[[#This Row],[Dimension]],IndicatorType[[#This Row],[Measure]],IndicatorType[[#This Row],[Indicator]])</f>
        <v>Health and Social NeedsBirth RisksCumulative Birth Risks</v>
      </c>
      <c r="B31" s="8" t="str">
        <f>UPPER(_xlfn.CONCAT(IndicatorType[[#This Row],[CodeDim]],".",IndicatorType[[#This Row],[CodeMsr]],".",IndicatorType[[#This Row],[CodeInd]]))</f>
        <v>HSN.RSK.CUM</v>
      </c>
      <c r="C31" s="8" t="s">
        <v>524</v>
      </c>
      <c r="D31" s="8" t="s">
        <v>533</v>
      </c>
      <c r="E31" s="8" t="s">
        <v>547</v>
      </c>
      <c r="F31" s="4" t="s">
        <v>129</v>
      </c>
      <c r="G31" s="6" t="s">
        <v>130</v>
      </c>
      <c r="H31" s="6" t="s">
        <v>190</v>
      </c>
      <c r="I31" s="18" t="s">
        <v>578</v>
      </c>
      <c r="J31" s="18"/>
      <c r="K31" s="18" t="s">
        <v>589</v>
      </c>
    </row>
    <row r="32" spans="1:11" customFormat="1" x14ac:dyDescent="0.25">
      <c r="A32" s="8" t="str">
        <f>_xlfn.CONCAT(IndicatorType[[#This Row],[Dimension]],IndicatorType[[#This Row],[Measure]],IndicatorType[[#This Row],[Indicator]])</f>
        <v>Health and Social NeedsBirth RisksInadequate Prenatal Care</v>
      </c>
      <c r="B32" s="8" t="str">
        <f>UPPER(_xlfn.CONCAT(IndicatorType[[#This Row],[CodeDim]],".",IndicatorType[[#This Row],[CodeMsr]],".",IndicatorType[[#This Row],[CodeInd]]))</f>
        <v>HSN.RSK.IPC</v>
      </c>
      <c r="C32" s="8" t="s">
        <v>524</v>
      </c>
      <c r="D32" s="8" t="s">
        <v>533</v>
      </c>
      <c r="E32" s="8" t="s">
        <v>556</v>
      </c>
      <c r="F32" s="4" t="s">
        <v>129</v>
      </c>
      <c r="G32" s="6" t="s">
        <v>130</v>
      </c>
      <c r="H32" s="6" t="s">
        <v>143</v>
      </c>
      <c r="I32" s="18" t="s">
        <v>578</v>
      </c>
      <c r="J32" s="18"/>
      <c r="K32" s="18" t="s">
        <v>589</v>
      </c>
    </row>
    <row r="33" spans="1:11" customFormat="1" x14ac:dyDescent="0.25">
      <c r="A33" s="8" t="str">
        <f>_xlfn.CONCAT(IndicatorType[[#This Row],[Dimension]],IndicatorType[[#This Row],[Measure]],IndicatorType[[#This Row],[Indicator]])</f>
        <v>Health and Social NeedsBirth RisksLow Maternal Education at Birth</v>
      </c>
      <c r="B33" s="8" t="str">
        <f>UPPER(_xlfn.CONCAT(IndicatorType[[#This Row],[CodeDim]],".",IndicatorType[[#This Row],[CodeMsr]],".",IndicatorType[[#This Row],[CodeInd]]))</f>
        <v>HSN.RSK.LME</v>
      </c>
      <c r="C33" s="8" t="s">
        <v>524</v>
      </c>
      <c r="D33" s="8" t="s">
        <v>533</v>
      </c>
      <c r="E33" s="8" t="s">
        <v>558</v>
      </c>
      <c r="F33" s="4" t="s">
        <v>129</v>
      </c>
      <c r="G33" s="6" t="s">
        <v>130</v>
      </c>
      <c r="H33" s="6" t="s">
        <v>169</v>
      </c>
      <c r="I33" s="18" t="s">
        <v>578</v>
      </c>
      <c r="J33" s="18"/>
      <c r="K33" s="18" t="s">
        <v>589</v>
      </c>
    </row>
    <row r="34" spans="1:11" customFormat="1" x14ac:dyDescent="0.25">
      <c r="A34" s="8" t="str">
        <f>_xlfn.CONCAT(IndicatorType[[#This Row],[Dimension]],IndicatorType[[#This Row],[Measure]],IndicatorType[[#This Row],[Indicator]])</f>
        <v>Health and Social NeedsBirth RisksMedicaid or WIC Receipt at Birth</v>
      </c>
      <c r="B34" s="8" t="str">
        <f>UPPER(_xlfn.CONCAT(IndicatorType[[#This Row],[CodeDim]],".",IndicatorType[[#This Row],[CodeMsr]],".",IndicatorType[[#This Row],[CodeInd]]))</f>
        <v>HSN.RSK.MOW</v>
      </c>
      <c r="C34" s="8" t="s">
        <v>524</v>
      </c>
      <c r="D34" s="8" t="s">
        <v>533</v>
      </c>
      <c r="E34" s="8" t="s">
        <v>560</v>
      </c>
      <c r="F34" s="4" t="s">
        <v>129</v>
      </c>
      <c r="G34" s="6" t="s">
        <v>130</v>
      </c>
      <c r="H34" s="6" t="s">
        <v>44</v>
      </c>
      <c r="I34" s="18" t="s">
        <v>578</v>
      </c>
      <c r="J34" s="18"/>
      <c r="K34" s="18" t="s">
        <v>589</v>
      </c>
    </row>
    <row r="35" spans="1:11" customFormat="1" x14ac:dyDescent="0.25">
      <c r="A35" s="8" t="str">
        <f>_xlfn.CONCAT(IndicatorType[[#This Row],[Dimension]],IndicatorType[[#This Row],[Measure]],IndicatorType[[#This Row],[Indicator]])</f>
        <v>Health and Social NeedsBirth RisksPreterm or Low Birth Weight</v>
      </c>
      <c r="B35" s="8" t="str">
        <f>UPPER(_xlfn.CONCAT(IndicatorType[[#This Row],[CodeDim]],".",IndicatorType[[#This Row],[CodeMsr]],".",IndicatorType[[#This Row],[CodeInd]]))</f>
        <v>HSN.RSK.PLW</v>
      </c>
      <c r="C35" s="8" t="s">
        <v>524</v>
      </c>
      <c r="D35" s="8" t="s">
        <v>533</v>
      </c>
      <c r="E35" s="8" t="s">
        <v>563</v>
      </c>
      <c r="F35" s="4" t="s">
        <v>129</v>
      </c>
      <c r="G35" s="6" t="s">
        <v>130</v>
      </c>
      <c r="H35" s="6" t="s">
        <v>153</v>
      </c>
      <c r="I35" s="18" t="s">
        <v>578</v>
      </c>
      <c r="J35" s="18"/>
      <c r="K35" s="18" t="s">
        <v>589</v>
      </c>
    </row>
    <row r="36" spans="1:11" customFormat="1" x14ac:dyDescent="0.25">
      <c r="A36" s="8" t="str">
        <f>_xlfn.CONCAT(IndicatorType[[#This Row],[Dimension]],IndicatorType[[#This Row],[Measure]],IndicatorType[[#This Row],[Indicator]])</f>
        <v>Health and Social NeedsBirth RisksPrenatal Tobacco Exposure</v>
      </c>
      <c r="B36" s="8" t="str">
        <f>UPPER(_xlfn.CONCAT(IndicatorType[[#This Row],[CodeDim]],".",IndicatorType[[#This Row],[CodeMsr]],".",IndicatorType[[#This Row],[CodeInd]]))</f>
        <v>HSN.RSK.PTE</v>
      </c>
      <c r="C36" s="8" t="s">
        <v>524</v>
      </c>
      <c r="D36" s="8" t="s">
        <v>533</v>
      </c>
      <c r="E36" s="8" t="s">
        <v>562</v>
      </c>
      <c r="F36" s="4" t="s">
        <v>129</v>
      </c>
      <c r="G36" s="6" t="s">
        <v>130</v>
      </c>
      <c r="H36" s="6" t="s">
        <v>163</v>
      </c>
      <c r="I36" s="18" t="s">
        <v>578</v>
      </c>
      <c r="J36" s="18"/>
      <c r="K36" s="18" t="s">
        <v>589</v>
      </c>
    </row>
    <row r="37" spans="1:11" customFormat="1" x14ac:dyDescent="0.25">
      <c r="A37" s="8" t="str">
        <f>_xlfn.CONCAT(IndicatorType[[#This Row],[Dimension]],IndicatorType[[#This Row],[Measure]],IndicatorType[[#This Row],[Indicator]])</f>
        <v>ServicesHuman ServicesAvailability of Child Care</v>
      </c>
      <c r="B37" s="8" t="str">
        <f>UPPER(_xlfn.CONCAT(IndicatorType[[#This Row],[CodeDim]],".",IndicatorType[[#This Row],[CodeMsr]],".",IndicatorType[[#This Row],[CodeInd]]))</f>
        <v>SRV.SER.CCA</v>
      </c>
      <c r="C37" s="8" t="s">
        <v>525</v>
      </c>
      <c r="D37" s="8" t="s">
        <v>538</v>
      </c>
      <c r="E37" s="8" t="s">
        <v>545</v>
      </c>
      <c r="F37" s="5" t="s">
        <v>480</v>
      </c>
      <c r="G37" s="6" t="s">
        <v>312</v>
      </c>
      <c r="H37" s="6" t="s">
        <v>314</v>
      </c>
      <c r="I37" s="18" t="s">
        <v>578</v>
      </c>
      <c r="J37" s="18"/>
      <c r="K37" s="18" t="s">
        <v>589</v>
      </c>
    </row>
    <row r="38" spans="1:11" customFormat="1" x14ac:dyDescent="0.25">
      <c r="A38" s="8" t="str">
        <f>_xlfn.CONCAT(IndicatorType[[#This Row],[Dimension]],IndicatorType[[#This Row],[Measure]],IndicatorType[[#This Row],[Indicator]])</f>
        <v>ServicesHuman ServicesDental Services</v>
      </c>
      <c r="B38" s="8" t="str">
        <f>UPPER(_xlfn.CONCAT(IndicatorType[[#This Row],[CodeDim]],".",IndicatorType[[#This Row],[CodeMsr]],".",IndicatorType[[#This Row],[CodeInd]]))</f>
        <v>SRV.SER.DNT</v>
      </c>
      <c r="C38" s="8" t="s">
        <v>525</v>
      </c>
      <c r="D38" s="8" t="s">
        <v>538</v>
      </c>
      <c r="E38" s="8" t="s">
        <v>548</v>
      </c>
      <c r="F38" s="5" t="s">
        <v>480</v>
      </c>
      <c r="G38" s="6" t="s">
        <v>312</v>
      </c>
      <c r="H38" s="6" t="s">
        <v>347</v>
      </c>
      <c r="I38" s="18" t="s">
        <v>578</v>
      </c>
      <c r="J38" s="18"/>
      <c r="K38" s="18" t="s">
        <v>589</v>
      </c>
    </row>
    <row r="39" spans="1:11" customFormat="1" x14ac:dyDescent="0.25">
      <c r="A39" s="8" t="str">
        <f>_xlfn.CONCAT(IndicatorType[[#This Row],[Dimension]],IndicatorType[[#This Row],[Measure]],IndicatorType[[#This Row],[Indicator]])</f>
        <v>ServicesHuman ServicesFoster Care</v>
      </c>
      <c r="B39" s="8" t="str">
        <f>UPPER(_xlfn.CONCAT(IndicatorType[[#This Row],[CodeDim]],".",IndicatorType[[#This Row],[CodeMsr]],".",IndicatorType[[#This Row],[CodeInd]]))</f>
        <v>SRV.SER.FST</v>
      </c>
      <c r="C39" s="8" t="s">
        <v>525</v>
      </c>
      <c r="D39" s="8" t="s">
        <v>538</v>
      </c>
      <c r="E39" s="8" t="s">
        <v>551</v>
      </c>
      <c r="F39" s="5" t="s">
        <v>480</v>
      </c>
      <c r="G39" s="6" t="s">
        <v>312</v>
      </c>
      <c r="H39" s="6" t="s">
        <v>367</v>
      </c>
      <c r="I39" s="18" t="s">
        <v>579</v>
      </c>
      <c r="J39" s="18"/>
      <c r="K39" s="18" t="s">
        <v>587</v>
      </c>
    </row>
    <row r="40" spans="1:11" customFormat="1" x14ac:dyDescent="0.25">
      <c r="A40" s="8" t="str">
        <f>_xlfn.CONCAT(IndicatorType[[#This Row],[Dimension]],IndicatorType[[#This Row],[Measure]],IndicatorType[[#This Row],[Indicator]])</f>
        <v>ServicesHuman ServicesHealth Coverage</v>
      </c>
      <c r="B40" s="8" t="str">
        <f>UPPER(_xlfn.CONCAT(IndicatorType[[#This Row],[CodeDim]],".",IndicatorType[[#This Row],[CodeMsr]],".",IndicatorType[[#This Row],[CodeInd]]))</f>
        <v>SRV.SER.HCC</v>
      </c>
      <c r="C40" s="8" t="s">
        <v>525</v>
      </c>
      <c r="D40" s="8" t="s">
        <v>538</v>
      </c>
      <c r="E40" s="8" t="s">
        <v>552</v>
      </c>
      <c r="F40" s="5" t="s">
        <v>480</v>
      </c>
      <c r="G40" s="6" t="s">
        <v>312</v>
      </c>
      <c r="H40" s="6" t="s">
        <v>487</v>
      </c>
      <c r="I40" s="18" t="s">
        <v>578</v>
      </c>
      <c r="J40" s="18"/>
      <c r="K40" s="18" t="s">
        <v>587</v>
      </c>
    </row>
    <row r="41" spans="1:11" customFormat="1" x14ac:dyDescent="0.25">
      <c r="A41" s="8" t="str">
        <f>_xlfn.CONCAT(IndicatorType[[#This Row],[Dimension]],IndicatorType[[#This Row],[Measure]],IndicatorType[[#This Row],[Indicator]])</f>
        <v>ServicesHuman ServicesSNAP</v>
      </c>
      <c r="B41" s="8" t="str">
        <f>UPPER(_xlfn.CONCAT(IndicatorType[[#This Row],[CodeDim]],".",IndicatorType[[#This Row],[CodeMsr]],".",IndicatorType[[#This Row],[CodeInd]]))</f>
        <v>SRV.SER.SNP</v>
      </c>
      <c r="C41" s="8" t="s">
        <v>525</v>
      </c>
      <c r="D41" s="8" t="s">
        <v>538</v>
      </c>
      <c r="E41" s="8" t="s">
        <v>564</v>
      </c>
      <c r="F41" s="5" t="s">
        <v>480</v>
      </c>
      <c r="G41" s="6" t="s">
        <v>312</v>
      </c>
      <c r="H41" s="6" t="s">
        <v>321</v>
      </c>
      <c r="I41" s="18" t="s">
        <v>578</v>
      </c>
      <c r="J41" s="18"/>
      <c r="K41" s="18" t="s">
        <v>587</v>
      </c>
    </row>
    <row r="42" spans="1:11" customFormat="1" x14ac:dyDescent="0.25">
      <c r="A42" s="8" t="str">
        <f>_xlfn.CONCAT(IndicatorType[[#This Row],[Dimension]],IndicatorType[[#This Row],[Measure]],IndicatorType[[#This Row],[Indicator]])</f>
        <v>ServicesHuman ServicesWIC</v>
      </c>
      <c r="B42" s="8" t="str">
        <f>UPPER(_xlfn.CONCAT(IndicatorType[[#This Row],[CodeDim]],".",IndicatorType[[#This Row],[CodeMsr]],".",IndicatorType[[#This Row],[CodeInd]]))</f>
        <v>SRV.SER.WIC</v>
      </c>
      <c r="C42" s="8" t="s">
        <v>525</v>
      </c>
      <c r="D42" s="8" t="s">
        <v>538</v>
      </c>
      <c r="E42" s="8" t="s">
        <v>577</v>
      </c>
      <c r="F42" s="5" t="s">
        <v>480</v>
      </c>
      <c r="G42" s="6" t="s">
        <v>312</v>
      </c>
      <c r="H42" s="6" t="s">
        <v>334</v>
      </c>
      <c r="I42" s="18" t="s">
        <v>578</v>
      </c>
      <c r="J42" s="18" t="s">
        <v>591</v>
      </c>
      <c r="K42" s="18" t="s">
        <v>597</v>
      </c>
    </row>
  </sheetData>
  <conditionalFormatting sqref="A2:K42">
    <cfRule type="expression" dxfId="0" priority="1">
      <formula>$K2="Gio"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3F19-25CF-4241-B0DD-4696F45C290E}">
  <dimension ref="B1:D8"/>
  <sheetViews>
    <sheetView zoomScale="130" zoomScaleNormal="130" workbookViewId="0">
      <selection activeCell="F16" sqref="F16"/>
    </sheetView>
  </sheetViews>
  <sheetFormatPr defaultRowHeight="15" x14ac:dyDescent="0.25"/>
  <cols>
    <col min="2" max="2" width="16.7109375" customWidth="1"/>
    <col min="3" max="4" width="17.28515625" customWidth="1"/>
  </cols>
  <sheetData>
    <row r="1" spans="2:4" ht="18" x14ac:dyDescent="0.25">
      <c r="B1" s="25" t="s">
        <v>596</v>
      </c>
    </row>
    <row r="2" spans="2:4" x14ac:dyDescent="0.25">
      <c r="B2" s="22"/>
    </row>
    <row r="3" spans="2:4" x14ac:dyDescent="0.25">
      <c r="B3" s="22" t="s">
        <v>598</v>
      </c>
    </row>
    <row r="4" spans="2:4" ht="30" x14ac:dyDescent="0.25">
      <c r="B4" s="19" t="s">
        <v>593</v>
      </c>
      <c r="C4" s="20" t="s">
        <v>594</v>
      </c>
      <c r="D4" s="20" t="s">
        <v>595</v>
      </c>
    </row>
    <row r="5" spans="2:4" x14ac:dyDescent="0.25">
      <c r="B5" s="21" t="s">
        <v>589</v>
      </c>
      <c r="C5" s="23">
        <v>13</v>
      </c>
      <c r="D5" s="24">
        <v>0.31707317073170732</v>
      </c>
    </row>
    <row r="6" spans="2:4" x14ac:dyDescent="0.25">
      <c r="B6" s="21" t="s">
        <v>587</v>
      </c>
      <c r="C6" s="23">
        <v>27</v>
      </c>
      <c r="D6" s="24">
        <v>0.65853658536585369</v>
      </c>
    </row>
    <row r="7" spans="2:4" x14ac:dyDescent="0.25">
      <c r="B7" s="21" t="s">
        <v>597</v>
      </c>
      <c r="C7" s="23">
        <v>1</v>
      </c>
      <c r="D7" s="24">
        <v>2.4390243902439025E-2</v>
      </c>
    </row>
    <row r="8" spans="2:4" x14ac:dyDescent="0.25">
      <c r="B8" s="21" t="s">
        <v>592</v>
      </c>
      <c r="C8" s="23">
        <v>41</v>
      </c>
      <c r="D8" s="2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7D8458-EF56-424D-8654-04F548612D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titles</vt:lpstr>
      <vt:lpstr>type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Chighladze, Giorgi [HD FS]</dc:creator>
  <cp:lastModifiedBy>Chighladze, Giorgi [HD FS]</cp:lastModifiedBy>
  <dcterms:created xsi:type="dcterms:W3CDTF">2025-12-23T19:53:07Z</dcterms:created>
  <dcterms:modified xsi:type="dcterms:W3CDTF">2026-02-04T16:32:12Z</dcterms:modified>
</cp:coreProperties>
</file>